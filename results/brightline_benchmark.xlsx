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" sheetId="1" state="visible" r:id="rId1"/>
    <sheet xmlns:r="http://schemas.openxmlformats.org/officeDocument/2006/relationships" name="Runs" sheetId="2" state="visible" r:id="rId2"/>
    <sheet xmlns:r="http://schemas.openxmlformats.org/officeDocument/2006/relationships" name="Training" sheetId="3" state="visible" r:id="rId3"/>
    <sheet xmlns:r="http://schemas.openxmlformats.org/officeDocument/2006/relationships" name="Scaling" sheetId="4" state="visible" r:id="rId4"/>
    <sheet xmlns:r="http://schemas.openxmlformats.org/officeDocument/2006/relationships" name="Recommendation" sheetId="5" state="visible" r:id="rId5"/>
    <sheet xmlns:r="http://schemas.openxmlformats.org/officeDocument/2006/relationships" name="Protoco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"/>
    <numFmt numFmtId="166" formatCode="+0.0;-0.0;0.0"/>
    <numFmt numFmtId="167" formatCode="0.00&quot;x&quot;"/>
    <numFmt numFmtId="168" formatCode="0.0&quot;x&quot;"/>
    <numFmt numFmtId="169" formatCode="0&quot;x&quot;"/>
    <numFmt numFmtId="170" formatCode="$0.00"/>
    <numFmt numFmtId="171" formatCode="#,##0.0"/>
    <numFmt numFmtId="172" formatCode="$#,##0.00"/>
    <numFmt numFmtId="173" formatCode="0.0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4"/>
    </font>
    <font>
      <name val="Arial"/>
      <i val="1"/>
      <color rgb="00666666"/>
      <sz val="10"/>
    </font>
    <font>
      <name val="Arial"/>
      <color rgb="00008000"/>
      <sz val="10"/>
    </font>
    <font>
      <name val="Arial"/>
      <b val="1"/>
      <color rgb="00000000"/>
      <sz val="10"/>
    </font>
    <font>
      <name val="Arial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1" pivotButton="0" quotePrefix="0" xfId="0"/>
    <xf numFmtId="164" fontId="7" fillId="3" borderId="1" pivotButton="0" quotePrefix="0" xfId="0"/>
    <xf numFmtId="165" fontId="7" fillId="3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2" fillId="0" borderId="1" applyAlignment="1" pivotButton="0" quotePrefix="0" xfId="0">
      <alignment vertical="top" wrapText="1"/>
    </xf>
    <xf numFmtId="1" fontId="5" fillId="0" borderId="1" pivotButton="0" quotePrefix="0" xfId="0"/>
    <xf numFmtId="164" fontId="5" fillId="0" borderId="1" pivotButton="0" quotePrefix="0" xfId="0"/>
    <xf numFmtId="2" fontId="5" fillId="0" borderId="1" pivotButton="0" quotePrefix="0" xfId="0"/>
    <xf numFmtId="165" fontId="5" fillId="0" borderId="1" pivotButton="0" quotePrefix="0" xfId="0"/>
    <xf numFmtId="3" fontId="5" fillId="0" borderId="1" pivotButton="0" quotePrefix="0" xfId="0"/>
    <xf numFmtId="166" fontId="2" fillId="0" borderId="1" pivotButton="0" quotePrefix="0" xfId="0"/>
    <xf numFmtId="167" fontId="2" fillId="0" borderId="1" pivotButton="0" quotePrefix="0" xfId="0"/>
    <xf numFmtId="168" fontId="2" fillId="0" borderId="1" pivotButton="0" quotePrefix="0" xfId="0"/>
    <xf numFmtId="1" fontId="7" fillId="3" borderId="1" pivotButton="0" quotePrefix="0" xfId="0"/>
    <xf numFmtId="0" fontId="7" fillId="3" borderId="1" pivotButton="0" quotePrefix="0" xfId="0"/>
    <xf numFmtId="0" fontId="2" fillId="0" borderId="0" pivotButton="0" quotePrefix="0" xfId="0"/>
    <xf numFmtId="3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169" fontId="7" fillId="3" borderId="1" pivotButton="0" quotePrefix="0" xfId="0"/>
    <xf numFmtId="9" fontId="7" fillId="3" borderId="1" pivotButton="0" quotePrefix="0" xfId="0"/>
    <xf numFmtId="170" fontId="7" fillId="3" borderId="1" pivotButton="0" quotePrefix="0" xfId="0"/>
    <xf numFmtId="0" fontId="2" fillId="4" borderId="1" pivotButton="0" quotePrefix="0" xfId="0"/>
    <xf numFmtId="3" fontId="2" fillId="4" borderId="1" pivotButton="0" quotePrefix="0" xfId="0"/>
    <xf numFmtId="0" fontId="6" fillId="4" borderId="1" pivotButton="0" quotePrefix="0" xfId="0"/>
    <xf numFmtId="11" fontId="6" fillId="4" borderId="1" pivotButton="0" quotePrefix="0" xfId="0"/>
    <xf numFmtId="171" fontId="2" fillId="0" borderId="1" pivotButton="0" quotePrefix="0" xfId="0"/>
    <xf numFmtId="4" fontId="2" fillId="4" borderId="1" pivotButton="0" quotePrefix="0" xfId="0"/>
    <xf numFmtId="172" fontId="2" fillId="0" borderId="1" pivotButton="0" quotePrefix="0" xfId="0"/>
    <xf numFmtId="171" fontId="2" fillId="4" borderId="1" pivotButton="0" quotePrefix="0" xfId="0"/>
    <xf numFmtId="173" fontId="2" fillId="4" borderId="1" pivotButton="0" quotePrefix="0" xfId="0"/>
    <xf numFmtId="0" fontId="6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name val="Arial"/>
        <color rgb="00006100"/>
      </font>
      <fill>
        <patternFill patternType="solid">
          <fgColor rgb="00C6EFCE"/>
        </patternFill>
      </fill>
    </dxf>
    <dxf>
      <font>
        <name val="Arial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Accuracy vs p95 latency (up and left is better)</a:t>
            </a:r>
          </a:p>
        </rich>
      </tx>
      <overlay val="0"/>
    </title>
    <plotArea>
      <scatterChart>
        <ser>
          <idx val="0"/>
          <order val="0"/>
          <tx>
            <v>baseline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1"/>
            <spPr>
              <a:solidFill xmlns:a="http://schemas.openxmlformats.org/drawingml/2006/main">
                <a:srgbClr val="2F5597"/>
              </a:solidFill>
              <a:ln xmlns:a="http://schemas.openxmlformats.org/drawingml/2006/main">
                <a:solidFill>
                  <a:srgbClr val="2F5597"/>
                </a:solidFill>
                <a:prstDash val="solid"/>
              </a:ln>
            </spPr>
          </marker>
          <xVal>
            <numRef>
              <f>'Board'!$J$12</f>
            </numRef>
          </xVal>
          <yVal>
            <numRef>
              <f>'Board'!$F$12</f>
            </numRef>
          </yVal>
        </ser>
        <ser>
          <idx val="1"/>
          <order val="1"/>
          <tx>
            <v>linear_attention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1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xVal>
            <numRef>
              <f>'Board'!$J$13</f>
            </numRef>
          </xVal>
          <yVal>
            <numRef>
              <f>'Board'!$F$13</f>
            </numRef>
          </yVal>
        </ser>
        <ser>
          <idx val="2"/>
          <order val="2"/>
          <tx>
            <v>quant_4bit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1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marker>
          <xVal>
            <numRef>
              <f>'Board'!$J$14</f>
            </numRef>
          </xVal>
          <yVal>
            <numRef>
              <f>'Board'!$F$14</f>
            </numRef>
          </yVal>
        </ser>
        <ser>
          <idx val="3"/>
          <order val="3"/>
          <tx>
            <v>distilled_student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1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solidFill>
                  <a:srgbClr val="7030A0"/>
                </a:solidFill>
                <a:prstDash val="solid"/>
              </a:ln>
            </spPr>
          </marker>
          <xVal>
            <numRef>
              <f>'Board'!$J$15</f>
            </numRef>
          </xVal>
          <yVal>
            <numRef>
              <f>'Board'!$F$15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p95 latency (ms)</a:t>
                </a:r>
              </a:p>
            </rich>
          </tx>
        </title>
        <numFmt formatCode="0.0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Accuracy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Shipped model size (MB)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'Board'!M11</f>
            </strRef>
          </tx>
          <spPr>
            <a:solidFill xmlns:a="http://schemas.openxmlformats.org/drawingml/2006/main">
              <a:srgbClr val="2F5597"/>
            </a:solidFill>
            <a:ln xmlns:a="http://schemas.openxmlformats.org/drawingml/2006/main">
              <a:prstDash val="solid"/>
            </a:ln>
          </spPr>
          <cat>
            <numRef>
              <f>'Board'!$A$12:$A$15</f>
            </numRef>
          </cat>
          <val>
            <numRef>
              <f>'Board'!$M$12:$M$15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benchmark</author>
  </authors>
  <commentList>
    <comment ref="B7" authorId="0" shapeId="0">
      <text>
        <t>Assumption: minimum acceptable overall accuracy. Set with ops.</t>
      </text>
    </comment>
    <comment ref="B8" authorId="0" shapeId="0">
      <text>
        <t>Assumption: p95 per-request latency budget on the benchmark GPU. The tablet will be slower; see Recommendation &gt; risks.</t>
      </text>
    </comment>
    <comment ref="B9" authorId="0" shapeId="0">
      <text>
        <t>Assumption: max serialized weight size per OTA update.</t>
      </text>
    </comment>
    <comment ref="B12" authorId="0" shapeId="0">
      <text>
        <t>run_id from the Runs sheet. Defaults to the newest run of this config.</t>
      </text>
    </comment>
    <comment ref="S12" authorId="0" shapeId="0">
      <text>
        <t>Fill in 1 = ship this. Ranking rationale goes on the Recommendation sheet.</t>
      </text>
    </comment>
  </commentList>
</comments>
</file>

<file path=xl/comments/comment2.xml><?xml version="1.0" encoding="utf-8"?>
<comments xmlns="http://schemas.openxmlformats.org/spreadsheetml/2006/main">
  <authors>
    <author>benchmark</author>
  </authors>
  <commentList>
    <comment ref="B5" authorId="0" shapeId="0">
      <text>
        <t>From Training sheet (total params, Chinchilla convention).</t>
      </text>
    </comment>
    <comment ref="B6" authorId="0" shapeId="0">
      <text>
        <t>From Training sheet.</t>
      </text>
    </comment>
    <comment ref="B7" authorId="0" shapeId="0">
      <text>
        <t>D / epochs: how much distinct data we actually have.</t>
      </text>
    </comment>
    <comment ref="B8" authorId="0" shapeId="0">
      <text>
        <t>Assignment: project a 10x larger version.</t>
      </text>
    </comment>
    <comment ref="B9" authorId="0" shapeId="0">
      <text>
        <t>Source: Hoffmann et al., 'Training Compute-Optimal Large Language Models', arXiv:2203.15556 (2022): ~20 tokens/param.</t>
      </text>
    </comment>
    <comment ref="B10" authorId="0" shapeId="0">
      <text>
        <t>Source: NVIDIA T4 datasheet, 65 TFLOPS mixed-precision (FP16/FP32) Tensor Core peak.</t>
      </text>
    </comment>
    <comment ref="B11" authorId="0" shapeId="0">
      <text>
        <t>Source: NVIDIA A100 datasheet, 312 TFLOPS BF16/FP16 dense Tensor Core peak.</t>
      </text>
    </comment>
    <comment ref="B12" authorId="0" shapeId="0">
      <text>
        <t>Assumption: 30% of peak is typical for small transformers; tiny models often achieve less.</t>
      </text>
    </comment>
    <comment ref="B13" authorId="0" shapeId="0">
      <text>
        <t>Assumption: typical on-demand cloud T4 rate. Colab free tier is $0 but session-capped.</t>
      </text>
    </comment>
    <comment ref="B14" authorId="0" shapeId="0">
      <text>
        <t>Assumption: typical on-demand cloud A100 40GB rate.</t>
      </text>
    </comment>
    <comment ref="B15" authorId="0" shapeId="0">
      <text>
        <t>From data/dataset_card.json: mean bytes per test example + 1 CLS token.</t>
      </text>
    </comment>
  </commentList>
</comments>
</file>

<file path=xl/comments/comment3.xml><?xml version="1.0" encoding="utf-8"?>
<comments xmlns="http://schemas.openxmlformats.org/spreadsheetml/2006/main">
  <authors>
    <author>benchmark</author>
  </authors>
  <commentList>
    <comment ref="B5" authorId="0" shapeId="0">
      <text>
        <t>Pick a config from the list; accuracy / latency / size fill in from the Board.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18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18</row>
      <rowOff>0</rowOff>
    </from>
    <ext cx="50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unsTable" displayName="RunsTable" ref="A1:Z21" headerRowCount="1">
  <autoFilter ref="A1:Z21"/>
  <tableColumns count="26">
    <tableColumn id="1" name="run_id"/>
    <tableColumn id="2" name="timestamp_utc"/>
    <tableColumn id="3" name="config"/>
    <tableColumn id="4" name="variant_type"/>
    <tableColumn id="5" name="description"/>
    <tableColumn id="6" name="trial"/>
    <tableColumn id="7" name="seed"/>
    <tableColumn id="8" name="n_requests"/>
    <tableColumn id="9" name="accuracy"/>
    <tableColumn id="10" name="acc_synthetic_docs"/>
    <tableColumn id="11" name="acc_slurp_notes"/>
    <tableColumn id="12" name="p50_ms"/>
    <tableColumn id="13" name="p95_ms"/>
    <tableColumn id="14" name="mean_ms"/>
    <tableColumn id="15" name="p50_docs_ms"/>
    <tableColumn id="16" name="p50_notes_ms"/>
    <tableColumn id="17" name="peak_mem_mb"/>
    <tableColumn id="18" name="weights_mem_mb"/>
    <tableColumn id="19" name="params_total"/>
    <tableColumn id="20" name="params_non_embedding"/>
    <tableColumn id="21" name="checkpoint_mb"/>
    <tableColumn id="22" name="precision"/>
    <tableColumn id="23" name="device"/>
    <tableColumn id="24" name="torch_version"/>
    <tableColumn id="25" name="cuda_version"/>
    <tableColumn id="26" name="python_version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3" customWidth="1" min="3" max="3"/>
    <col width="46" customWidth="1" min="4" max="4"/>
    <col width="8" customWidth="1" min="5" max="5"/>
    <col width="10" customWidth="1" min="6" max="6"/>
    <col width="10" customWidth="1" min="7" max="7"/>
    <col width="10" customWidth="1" min="8" max="8"/>
    <col width="9" customWidth="1" min="9" max="9"/>
    <col width="9" customWidth="1" min="10" max="10"/>
    <col width="12" customWidth="1" min="11" max="11"/>
    <col width="11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0" customWidth="1" min="18" max="18"/>
    <col width="7" customWidth="1" min="19" max="19"/>
    <col width="40" customWidth="1" min="20" max="20"/>
  </cols>
  <sheetData>
    <row r="1">
      <c r="A1" s="1" t="inlineStr">
        <is>
          <t>Brightline Logistics - In-Cab Model Trade-off Board</t>
        </is>
      </c>
    </row>
    <row r="2">
      <c r="A2" s="2" t="inlineStr">
        <is>
          <t>Scanned bills of lading + spoken driver notes, one 16-class model. Every figure is the mean of repeated benchmark trials (see Protocol).</t>
        </is>
      </c>
    </row>
    <row r="3">
      <c r="A3" s="3">
        <f>IF(COUNTA(Runs!$A:$A)&lt;2,"Measured on: (no runs yet)","Measured on: "&amp;INDEX(Runs!$W:$W,2)&amp;"  |  torch "&amp;INDEX(Runs!$X:$X,2))</f>
        <v/>
      </c>
    </row>
    <row r="4">
      <c r="A4" s="2" t="inlineStr">
        <is>
          <t>Legend:  blue = input you can change  |  yellow fill = decision cells to fill in  |  green = pulled from another sheet  |  black = formula</t>
        </is>
      </c>
    </row>
    <row r="6">
      <c r="A6" s="4" t="inlineStr">
        <is>
          <t>Tablet budget (edit to match the agreed hardware target)</t>
        </is>
      </c>
    </row>
    <row r="7">
      <c r="A7" s="5" t="inlineStr">
        <is>
          <t>Accuracy floor (overall)</t>
        </is>
      </c>
      <c r="B7" s="6" t="n">
        <v>0.85</v>
      </c>
    </row>
    <row r="8">
      <c r="A8" s="5" t="inlineStr">
        <is>
          <t>p95 latency ceiling (ms, measured GPU)</t>
        </is>
      </c>
      <c r="B8" s="7" t="n">
        <v>10</v>
      </c>
    </row>
    <row r="9">
      <c r="A9" s="5" t="inlineStr">
        <is>
          <t>Shipped model size ceiling (MB)</t>
        </is>
      </c>
      <c r="B9" s="7" t="n">
        <v>8</v>
      </c>
    </row>
    <row r="11" ht="42" customHeight="1">
      <c r="A11" s="8" t="inlineStr">
        <is>
          <t>Config</t>
        </is>
      </c>
      <c r="B11" s="8" t="inlineStr">
        <is>
          <t>Run ID</t>
        </is>
      </c>
      <c r="C11" s="8" t="inlineStr">
        <is>
          <t>Variant</t>
        </is>
      </c>
      <c r="D11" s="8" t="inlineStr">
        <is>
          <t>What changed</t>
        </is>
      </c>
      <c r="E11" s="8" t="inlineStr">
        <is>
          <t>Trials</t>
        </is>
      </c>
      <c r="F11" s="8" t="inlineStr">
        <is>
          <t>Accuracy</t>
        </is>
      </c>
      <c r="G11" s="8" t="inlineStr">
        <is>
          <t>Docs acc</t>
        </is>
      </c>
      <c r="H11" s="8" t="inlineStr">
        <is>
          <t>Notes acc</t>
        </is>
      </c>
      <c r="I11" s="8" t="inlineStr">
        <is>
          <t>p50 ms</t>
        </is>
      </c>
      <c r="J11" s="8" t="inlineStr">
        <is>
          <t>p95 ms</t>
        </is>
      </c>
      <c r="K11" s="8" t="inlineStr">
        <is>
          <t>p50 spread across trials (ms)</t>
        </is>
      </c>
      <c r="L11" s="8" t="inlineStr">
        <is>
          <t>Peak GPU mem (MB)</t>
        </is>
      </c>
      <c r="M11" s="8" t="inlineStr">
        <is>
          <t>Shipped size (MB)</t>
        </is>
      </c>
      <c r="N11" s="8" t="inlineStr">
        <is>
          <t>Params</t>
        </is>
      </c>
      <c r="O11" s="8" t="inlineStr">
        <is>
          <t>Accuracy vs baseline (pts)</t>
        </is>
      </c>
      <c r="P11" s="8" t="inlineStr">
        <is>
          <t>p95 speed-up vs baseline (x)</t>
        </is>
      </c>
      <c r="Q11" s="8" t="inlineStr">
        <is>
          <t>Size reduction vs baseline (x)</t>
        </is>
      </c>
      <c r="R11" s="8" t="inlineStr">
        <is>
          <t>Meets budget?</t>
        </is>
      </c>
      <c r="S11" s="8" t="inlineStr">
        <is>
          <t>Rank</t>
        </is>
      </c>
      <c r="T11" s="8" t="inlineStr">
        <is>
          <t>Verdict</t>
        </is>
      </c>
    </row>
    <row r="12">
      <c r="A12" s="9" t="inlineStr">
        <is>
          <t>baseline</t>
        </is>
      </c>
      <c r="B12" s="10" t="inlineStr">
        <is>
          <t>eecf0fdd</t>
        </is>
      </c>
      <c r="C12" s="5" t="inlineStr">
        <is>
          <t>baseline</t>
        </is>
      </c>
      <c r="D12" s="11" t="inlineStr">
        <is>
          <t>4-layer softmax-attention transformer, FP32</t>
        </is>
      </c>
      <c r="E12" s="12">
        <f>IF($B12="","",COUNTIFS(Runs!$A$2:$A$21,$B12))</f>
        <v/>
      </c>
      <c r="F12" s="13">
        <f>IFERROR(AVERAGEIFS(Runs!$I$2:$I$21,Runs!$A$2:$A$21,$B12),"")</f>
        <v/>
      </c>
      <c r="G12" s="13">
        <f>IFERROR(AVERAGEIFS(Runs!$J$2:$J$21,Runs!$A$2:$A$21,$B12),"")</f>
        <v/>
      </c>
      <c r="H12" s="13">
        <f>IFERROR(AVERAGEIFS(Runs!$K$2:$K$21,Runs!$A$2:$A$21,$B12),"")</f>
        <v/>
      </c>
      <c r="I12" s="14">
        <f>IFERROR(AVERAGEIFS(Runs!$L$2:$L$21,Runs!$A$2:$A$21,$B12),"")</f>
        <v/>
      </c>
      <c r="J12" s="14">
        <f>IFERROR(AVERAGEIFS(Runs!$M$2:$M$21,Runs!$A$2:$A$21,$B12),"")</f>
        <v/>
      </c>
      <c r="K12" s="14">
        <f>IFERROR(IF(E12="","",_xlfn.MAXIFS(Runs!$L$2:$L$21,Runs!$A$2:$A$21,$B12)-_xlfn.MINIFS(Runs!$L$2:$L$21,Runs!$A$2:$A$21,$B12)),"")</f>
        <v/>
      </c>
      <c r="L12" s="15">
        <f>IFERROR(AVERAGEIFS(Runs!$Q$2:$Q$21,Runs!$A$2:$A$21,$B12),"")</f>
        <v/>
      </c>
      <c r="M12" s="14">
        <f>IFERROR(AVERAGEIFS(Runs!$U$2:$U$21,Runs!$A$2:$A$21,$B12),"")</f>
        <v/>
      </c>
      <c r="N12" s="16">
        <f>IFERROR(AVERAGEIFS(Runs!$S$2:$S$21,Runs!$A$2:$A$21,$B12),"")</f>
        <v/>
      </c>
      <c r="O12" s="17">
        <f>IFERROR((F12-F$12)*100,"")</f>
        <v/>
      </c>
      <c r="P12" s="18">
        <f>IFERROR(J$12/J12,"")</f>
        <v/>
      </c>
      <c r="Q12" s="19">
        <f>IFERROR(M$12/M12,"")</f>
        <v/>
      </c>
      <c r="R12" s="5">
        <f>IF(F12="","",IF(AND(F12&gt;=$B$7,J12&lt;=$B$8,M12&lt;=$B$9),"PASS","FAIL"))</f>
        <v/>
      </c>
      <c r="S12" s="20" t="n"/>
      <c r="T12" s="21" t="n"/>
    </row>
    <row r="13">
      <c r="A13" s="9" t="inlineStr">
        <is>
          <t>linear_attention</t>
        </is>
      </c>
      <c r="B13" s="10" t="inlineStr">
        <is>
          <t>1610f4f4</t>
        </is>
      </c>
      <c r="C13" s="5" t="inlineStr">
        <is>
          <t>architecture</t>
        </is>
      </c>
      <c r="D13" s="11" t="inlineStr">
        <is>
          <t>Architecture variant: same 4-layer model, linear (elu+1) attention, FP32</t>
        </is>
      </c>
      <c r="E13" s="12">
        <f>IF($B13="","",COUNTIFS(Runs!$A$2:$A$21,$B13))</f>
        <v/>
      </c>
      <c r="F13" s="13">
        <f>IFERROR(AVERAGEIFS(Runs!$I$2:$I$21,Runs!$A$2:$A$21,$B13),"")</f>
        <v/>
      </c>
      <c r="G13" s="13">
        <f>IFERROR(AVERAGEIFS(Runs!$J$2:$J$21,Runs!$A$2:$A$21,$B13),"")</f>
        <v/>
      </c>
      <c r="H13" s="13">
        <f>IFERROR(AVERAGEIFS(Runs!$K$2:$K$21,Runs!$A$2:$A$21,$B13),"")</f>
        <v/>
      </c>
      <c r="I13" s="14">
        <f>IFERROR(AVERAGEIFS(Runs!$L$2:$L$21,Runs!$A$2:$A$21,$B13),"")</f>
        <v/>
      </c>
      <c r="J13" s="14">
        <f>IFERROR(AVERAGEIFS(Runs!$M$2:$M$21,Runs!$A$2:$A$21,$B13),"")</f>
        <v/>
      </c>
      <c r="K13" s="14">
        <f>IFERROR(IF(E13="","",_xlfn.MAXIFS(Runs!$L$2:$L$21,Runs!$A$2:$A$21,$B13)-_xlfn.MINIFS(Runs!$L$2:$L$21,Runs!$A$2:$A$21,$B13)),"")</f>
        <v/>
      </c>
      <c r="L13" s="15">
        <f>IFERROR(AVERAGEIFS(Runs!$Q$2:$Q$21,Runs!$A$2:$A$21,$B13),"")</f>
        <v/>
      </c>
      <c r="M13" s="14">
        <f>IFERROR(AVERAGEIFS(Runs!$U$2:$U$21,Runs!$A$2:$A$21,$B13),"")</f>
        <v/>
      </c>
      <c r="N13" s="16">
        <f>IFERROR(AVERAGEIFS(Runs!$S$2:$S$21,Runs!$A$2:$A$21,$B13),"")</f>
        <v/>
      </c>
      <c r="O13" s="17">
        <f>IFERROR((F13-F$12)*100,"")</f>
        <v/>
      </c>
      <c r="P13" s="18">
        <f>IFERROR(J$12/J13,"")</f>
        <v/>
      </c>
      <c r="Q13" s="19">
        <f>IFERROR(M$12/M13,"")</f>
        <v/>
      </c>
      <c r="R13" s="5">
        <f>IF(F13="","",IF(AND(F13&gt;=$B$7,J13&lt;=$B$8,M13&lt;=$B$9),"PASS","FAIL"))</f>
        <v/>
      </c>
      <c r="S13" s="20" t="n"/>
      <c r="T13" s="21" t="n"/>
    </row>
    <row r="14">
      <c r="A14" s="9" t="inlineStr">
        <is>
          <t>quant_4bit</t>
        </is>
      </c>
      <c r="B14" s="10" t="inlineStr">
        <is>
          <t>3d0f40a4</t>
        </is>
      </c>
      <c r="C14" s="5" t="inlineStr">
        <is>
          <t>quantized</t>
        </is>
      </c>
      <c r="D14" s="11" t="inlineStr">
        <is>
          <t>Baseline weights quantized post-training to 4-bit NF4 (bitsandbytes), FP16 compute</t>
        </is>
      </c>
      <c r="E14" s="12">
        <f>IF($B14="","",COUNTIFS(Runs!$A$2:$A$21,$B14))</f>
        <v/>
      </c>
      <c r="F14" s="13">
        <f>IFERROR(AVERAGEIFS(Runs!$I$2:$I$21,Runs!$A$2:$A$21,$B14),"")</f>
        <v/>
      </c>
      <c r="G14" s="13">
        <f>IFERROR(AVERAGEIFS(Runs!$J$2:$J$21,Runs!$A$2:$A$21,$B14),"")</f>
        <v/>
      </c>
      <c r="H14" s="13">
        <f>IFERROR(AVERAGEIFS(Runs!$K$2:$K$21,Runs!$A$2:$A$21,$B14),"")</f>
        <v/>
      </c>
      <c r="I14" s="14">
        <f>IFERROR(AVERAGEIFS(Runs!$L$2:$L$21,Runs!$A$2:$A$21,$B14),"")</f>
        <v/>
      </c>
      <c r="J14" s="14">
        <f>IFERROR(AVERAGEIFS(Runs!$M$2:$M$21,Runs!$A$2:$A$21,$B14),"")</f>
        <v/>
      </c>
      <c r="K14" s="14">
        <f>IFERROR(IF(E14="","",_xlfn.MAXIFS(Runs!$L$2:$L$21,Runs!$A$2:$A$21,$B14)-_xlfn.MINIFS(Runs!$L$2:$L$21,Runs!$A$2:$A$21,$B14)),"")</f>
        <v/>
      </c>
      <c r="L14" s="15">
        <f>IFERROR(AVERAGEIFS(Runs!$Q$2:$Q$21,Runs!$A$2:$A$21,$B14),"")</f>
        <v/>
      </c>
      <c r="M14" s="14">
        <f>IFERROR(AVERAGEIFS(Runs!$U$2:$U$21,Runs!$A$2:$A$21,$B14),"")</f>
        <v/>
      </c>
      <c r="N14" s="16">
        <f>IFERROR(AVERAGEIFS(Runs!$S$2:$S$21,Runs!$A$2:$A$21,$B14),"")</f>
        <v/>
      </c>
      <c r="O14" s="17">
        <f>IFERROR((F14-F$12)*100,"")</f>
        <v/>
      </c>
      <c r="P14" s="18">
        <f>IFERROR(J$12/J14,"")</f>
        <v/>
      </c>
      <c r="Q14" s="19">
        <f>IFERROR(M$12/M14,"")</f>
        <v/>
      </c>
      <c r="R14" s="5">
        <f>IF(F14="","",IF(AND(F14&gt;=$B$7,J14&lt;=$B$8,M14&lt;=$B$9),"PASS","FAIL"))</f>
        <v/>
      </c>
      <c r="S14" s="20" t="n"/>
      <c r="T14" s="21" t="n"/>
    </row>
    <row r="15">
      <c r="A15" s="9" t="inlineStr">
        <is>
          <t>distilled_student</t>
        </is>
      </c>
      <c r="B15" s="10" t="inlineStr">
        <is>
          <t>6c3d1f09</t>
        </is>
      </c>
      <c r="C15" s="5" t="inlineStr">
        <is>
          <t>distilled</t>
        </is>
      </c>
      <c r="D15" s="11" t="inlineStr">
        <is>
          <t>Distilled student: 2-layer, d=128 transformer trained on baseline's soft labels, FP32</t>
        </is>
      </c>
      <c r="E15" s="12">
        <f>IF($B15="","",COUNTIFS(Runs!$A$2:$A$21,$B15))</f>
        <v/>
      </c>
      <c r="F15" s="13">
        <f>IFERROR(AVERAGEIFS(Runs!$I$2:$I$21,Runs!$A$2:$A$21,$B15),"")</f>
        <v/>
      </c>
      <c r="G15" s="13">
        <f>IFERROR(AVERAGEIFS(Runs!$J$2:$J$21,Runs!$A$2:$A$21,$B15),"")</f>
        <v/>
      </c>
      <c r="H15" s="13">
        <f>IFERROR(AVERAGEIFS(Runs!$K$2:$K$21,Runs!$A$2:$A$21,$B15),"")</f>
        <v/>
      </c>
      <c r="I15" s="14">
        <f>IFERROR(AVERAGEIFS(Runs!$L$2:$L$21,Runs!$A$2:$A$21,$B15),"")</f>
        <v/>
      </c>
      <c r="J15" s="14">
        <f>IFERROR(AVERAGEIFS(Runs!$M$2:$M$21,Runs!$A$2:$A$21,$B15),"")</f>
        <v/>
      </c>
      <c r="K15" s="14">
        <f>IFERROR(IF(E15="","",_xlfn.MAXIFS(Runs!$L$2:$L$21,Runs!$A$2:$A$21,$B15)-_xlfn.MINIFS(Runs!$L$2:$L$21,Runs!$A$2:$A$21,$B15)),"")</f>
        <v/>
      </c>
      <c r="L15" s="15">
        <f>IFERROR(AVERAGEIFS(Runs!$Q$2:$Q$21,Runs!$A$2:$A$21,$B15),"")</f>
        <v/>
      </c>
      <c r="M15" s="14">
        <f>IFERROR(AVERAGEIFS(Runs!$U$2:$U$21,Runs!$A$2:$A$21,$B15),"")</f>
        <v/>
      </c>
      <c r="N15" s="16">
        <f>IFERROR(AVERAGEIFS(Runs!$S$2:$S$21,Runs!$A$2:$A$21,$B15),"")</f>
        <v/>
      </c>
      <c r="O15" s="17">
        <f>IFERROR((F15-F$12)*100,"")</f>
        <v/>
      </c>
      <c r="P15" s="18">
        <f>IFERROR(J$12/J15,"")</f>
        <v/>
      </c>
      <c r="Q15" s="19">
        <f>IFERROR(M$12/M15,"")</f>
        <v/>
      </c>
      <c r="R15" s="5">
        <f>IF(F15="","",IF(AND(F15&gt;=$B$7,J15&lt;=$B$8,M15&lt;=$B$9),"PASS","FAIL"))</f>
        <v/>
      </c>
      <c r="S15" s="20" t="n"/>
      <c r="T15" s="21" t="n"/>
    </row>
    <row r="17">
      <c r="A17" s="2" t="inlineStr">
        <is>
          <t>Accuracy = 16-class test accuracy (1,600 unseen-customer documents + 893 SLURP notes). Latency = one request at a time, host-&gt;GPU-&gt;host, synchronized. Shipped size = serialized weights as loaded (4-bit packs two weights per byte).</t>
        </is>
      </c>
    </row>
  </sheetData>
  <conditionalFormatting sqref="R12:R15">
    <cfRule type="cellIs" priority="1" operator="equal" dxfId="0">
      <formula>"PASS"</formula>
    </cfRule>
    <cfRule type="cellIs" priority="2" operator="equal" dxfId="1">
      <formula>"FAIL"</formula>
    </cfRule>
  </conditionalFormatting>
  <conditionalFormatting sqref="F12:F15">
    <cfRule type="colorScale" priority="3">
      <colorScale>
        <cfvo type="min"/>
        <cfvo type="max"/>
        <color rgb="00F8CBAD"/>
        <color rgb="00C6EFCE"/>
      </colorScale>
    </cfRule>
  </conditionalFormatting>
  <conditionalFormatting sqref="G12:G15">
    <cfRule type="colorScale" priority="4">
      <colorScale>
        <cfvo type="min"/>
        <cfvo type="max"/>
        <color rgb="00F8CBAD"/>
        <color rgb="00C6EFCE"/>
      </colorScale>
    </cfRule>
  </conditionalFormatting>
  <conditionalFormatting sqref="H12:H15">
    <cfRule type="colorScale" priority="5">
      <colorScale>
        <cfvo type="min"/>
        <cfvo type="max"/>
        <color rgb="00F8CBAD"/>
        <color rgb="00C6EFCE"/>
      </colorScale>
    </cfRule>
  </conditionalFormatting>
  <conditionalFormatting sqref="I12:I15">
    <cfRule type="colorScale" priority="6">
      <colorScale>
        <cfvo type="min"/>
        <cfvo type="max"/>
        <color rgb="00C6EFCE"/>
        <color rgb="00F8CBAD"/>
      </colorScale>
    </cfRule>
  </conditionalFormatting>
  <conditionalFormatting sqref="J12:J15">
    <cfRule type="colorScale" priority="7">
      <colorScale>
        <cfvo type="min"/>
        <cfvo type="max"/>
        <color rgb="00C6EFCE"/>
        <color rgb="00F8CBAD"/>
      </colorScale>
    </cfRule>
  </conditionalFormatting>
  <conditionalFormatting sqref="L12:L15">
    <cfRule type="colorScale" priority="8">
      <colorScale>
        <cfvo type="min"/>
        <cfvo type="max"/>
        <color rgb="00C6EFCE"/>
        <color rgb="00F8CBAD"/>
      </colorScale>
    </cfRule>
  </conditionalFormatting>
  <conditionalFormatting sqref="M12:M15">
    <cfRule type="colorScale" priority="9">
      <colorScale>
        <cfvo type="min"/>
        <cfvo type="max"/>
        <color rgb="00C6EFCE"/>
        <color rgb="00F8CBAD"/>
      </colorScale>
    </cfRule>
  </conditionalFormatting>
  <dataValidations count="1">
    <dataValidation sqref="S12:S15" showDropDown="0" showInputMessage="0" showErrorMessage="0" allowBlank="1" type="whole" operator="between">
      <formula1>1</formula1>
      <formula2>4</formula2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6" customWidth="1" min="2" max="2"/>
    <col width="11" customWidth="1" min="3" max="3"/>
    <col width="15" customWidth="1" min="4" max="4"/>
    <col width="48" customWidth="1" min="5" max="5"/>
    <col width="11" customWidth="1" min="6" max="6"/>
    <col width="11" customWidth="1" min="7" max="7"/>
    <col width="13" customWidth="1" min="8" max="8"/>
    <col width="11" customWidth="1" min="9" max="9"/>
    <col width="21" customWidth="1" min="10" max="10"/>
    <col width="18" customWidth="1" min="11" max="11"/>
    <col width="11" customWidth="1" min="12" max="12"/>
    <col width="11" customWidth="1" min="13" max="13"/>
    <col width="11" customWidth="1" min="14" max="14"/>
    <col width="14" customWidth="1" min="15" max="15"/>
    <col width="15" customWidth="1" min="16" max="16"/>
    <col width="14" customWidth="1" min="17" max="17"/>
    <col width="17" customWidth="1" min="18" max="18"/>
    <col width="15" customWidth="1" min="19" max="19"/>
    <col width="23" customWidth="1" min="20" max="20"/>
    <col width="16" customWidth="1" min="21" max="21"/>
    <col width="12" customWidth="1" min="22" max="22"/>
    <col width="11" customWidth="1" min="23" max="23"/>
    <col width="16" customWidth="1" min="24" max="24"/>
    <col width="15" customWidth="1" min="25" max="25"/>
    <col width="17" customWidth="1" min="26" max="26"/>
  </cols>
  <sheetData>
    <row r="1">
      <c r="A1" s="8" t="inlineStr">
        <is>
          <t>run_id</t>
        </is>
      </c>
      <c r="B1" s="8" t="inlineStr">
        <is>
          <t>timestamp_utc</t>
        </is>
      </c>
      <c r="C1" s="8" t="inlineStr">
        <is>
          <t>config</t>
        </is>
      </c>
      <c r="D1" s="8" t="inlineStr">
        <is>
          <t>variant_type</t>
        </is>
      </c>
      <c r="E1" s="8" t="inlineStr">
        <is>
          <t>description</t>
        </is>
      </c>
      <c r="F1" s="8" t="inlineStr">
        <is>
          <t>trial</t>
        </is>
      </c>
      <c r="G1" s="8" t="inlineStr">
        <is>
          <t>seed</t>
        </is>
      </c>
      <c r="H1" s="8" t="inlineStr">
        <is>
          <t>n_requests</t>
        </is>
      </c>
      <c r="I1" s="8" t="inlineStr">
        <is>
          <t>accuracy</t>
        </is>
      </c>
      <c r="J1" s="8" t="inlineStr">
        <is>
          <t>acc_synthetic_docs</t>
        </is>
      </c>
      <c r="K1" s="8" t="inlineStr">
        <is>
          <t>acc_slurp_notes</t>
        </is>
      </c>
      <c r="L1" s="8" t="inlineStr">
        <is>
          <t>p50_ms</t>
        </is>
      </c>
      <c r="M1" s="8" t="inlineStr">
        <is>
          <t>p95_ms</t>
        </is>
      </c>
      <c r="N1" s="8" t="inlineStr">
        <is>
          <t>mean_ms</t>
        </is>
      </c>
      <c r="O1" s="8" t="inlineStr">
        <is>
          <t>p50_docs_ms</t>
        </is>
      </c>
      <c r="P1" s="8" t="inlineStr">
        <is>
          <t>p50_notes_ms</t>
        </is>
      </c>
      <c r="Q1" s="8" t="inlineStr">
        <is>
          <t>peak_mem_mb</t>
        </is>
      </c>
      <c r="R1" s="8" t="inlineStr">
        <is>
          <t>weights_mem_mb</t>
        </is>
      </c>
      <c r="S1" s="8" t="inlineStr">
        <is>
          <t>params_total</t>
        </is>
      </c>
      <c r="T1" s="8" t="inlineStr">
        <is>
          <t>params_non_embedding</t>
        </is>
      </c>
      <c r="U1" s="8" t="inlineStr">
        <is>
          <t>checkpoint_mb</t>
        </is>
      </c>
      <c r="V1" s="8" t="inlineStr">
        <is>
          <t>precision</t>
        </is>
      </c>
      <c r="W1" s="8" t="inlineStr">
        <is>
          <t>device</t>
        </is>
      </c>
      <c r="X1" s="8" t="inlineStr">
        <is>
          <t>torch_version</t>
        </is>
      </c>
      <c r="Y1" s="8" t="inlineStr">
        <is>
          <t>cuda_version</t>
        </is>
      </c>
      <c r="Z1" s="8" t="inlineStr">
        <is>
          <t>python_version</t>
        </is>
      </c>
    </row>
    <row r="2">
      <c r="A2" s="22" t="inlineStr">
        <is>
          <t>eecf0fdd</t>
        </is>
      </c>
      <c r="B2" s="22" t="inlineStr">
        <is>
          <t>2026-10-10T16:03:37+00:00</t>
        </is>
      </c>
      <c r="C2" s="22" t="inlineStr">
        <is>
          <t>baseline</t>
        </is>
      </c>
      <c r="D2" s="22" t="inlineStr">
        <is>
          <t>baseline</t>
        </is>
      </c>
      <c r="E2" s="22" t="inlineStr">
        <is>
          <t>4-layer softmax-attention transformer, FP32</t>
        </is>
      </c>
      <c r="F2" s="22" t="n">
        <v>0</v>
      </c>
      <c r="G2" s="22" t="n">
        <v>627</v>
      </c>
      <c r="H2" s="22" t="n">
        <v>2493</v>
      </c>
      <c r="I2" s="22" t="n">
        <v>0.88127</v>
      </c>
      <c r="J2" s="22" t="n">
        <v>0.96375</v>
      </c>
      <c r="K2" s="22" t="n">
        <v>0.73348</v>
      </c>
      <c r="L2" s="22" t="n">
        <v>2.4854</v>
      </c>
      <c r="M2" s="22" t="n">
        <v>3.9692</v>
      </c>
      <c r="N2" s="22" t="n">
        <v>2.7712</v>
      </c>
      <c r="O2" s="22" t="n">
        <v>2.5356</v>
      </c>
      <c r="P2" s="22" t="n">
        <v>2.4187</v>
      </c>
      <c r="Q2" s="22" t="n">
        <v>29.78</v>
      </c>
      <c r="R2" s="22" t="n">
        <v>13.32</v>
      </c>
      <c r="S2" s="22" t="n">
        <v>3491856</v>
      </c>
      <c r="T2" s="22" t="n">
        <v>3163664</v>
      </c>
      <c r="U2" s="22" t="n">
        <v>13.34</v>
      </c>
      <c r="V2" s="22" t="inlineStr">
        <is>
          <t>fp32</t>
        </is>
      </c>
      <c r="W2" s="22" t="inlineStr">
        <is>
          <t>Tesla T4</t>
        </is>
      </c>
      <c r="X2" s="22" t="inlineStr">
        <is>
          <t>2.11.0+cu130</t>
        </is>
      </c>
      <c r="Y2" s="22" t="inlineStr">
        <is>
          <t>13.0</t>
        </is>
      </c>
      <c r="Z2" s="22" t="inlineStr">
        <is>
          <t>3.13.15</t>
        </is>
      </c>
    </row>
    <row r="3">
      <c r="A3" s="22" t="inlineStr">
        <is>
          <t>eecf0fdd</t>
        </is>
      </c>
      <c r="B3" s="22" t="inlineStr">
        <is>
          <t>2026-10-10T16:03:44+00:00</t>
        </is>
      </c>
      <c r="C3" s="22" t="inlineStr">
        <is>
          <t>baseline</t>
        </is>
      </c>
      <c r="D3" s="22" t="inlineStr">
        <is>
          <t>baseline</t>
        </is>
      </c>
      <c r="E3" s="22" t="inlineStr">
        <is>
          <t>4-layer softmax-attention transformer, FP32</t>
        </is>
      </c>
      <c r="F3" s="22" t="n">
        <v>1</v>
      </c>
      <c r="G3" s="22" t="n">
        <v>627</v>
      </c>
      <c r="H3" s="22" t="n">
        <v>2493</v>
      </c>
      <c r="I3" s="22" t="n">
        <v>0.88127</v>
      </c>
      <c r="J3" s="22" t="n">
        <v>0.96375</v>
      </c>
      <c r="K3" s="22" t="n">
        <v>0.73348</v>
      </c>
      <c r="L3" s="22" t="n">
        <v>2.3955</v>
      </c>
      <c r="M3" s="22" t="n">
        <v>3.7159</v>
      </c>
      <c r="N3" s="22" t="n">
        <v>2.6194</v>
      </c>
      <c r="O3" s="22" t="n">
        <v>2.4146</v>
      </c>
      <c r="P3" s="22" t="n">
        <v>2.3462</v>
      </c>
      <c r="Q3" s="22" t="n">
        <v>29.78</v>
      </c>
      <c r="R3" s="22" t="n">
        <v>13.32</v>
      </c>
      <c r="S3" s="22" t="n">
        <v>3491856</v>
      </c>
      <c r="T3" s="22" t="n">
        <v>3163664</v>
      </c>
      <c r="U3" s="22" t="n">
        <v>13.34</v>
      </c>
      <c r="V3" s="22" t="inlineStr">
        <is>
          <t>fp32</t>
        </is>
      </c>
      <c r="W3" s="22" t="inlineStr">
        <is>
          <t>Tesla T4</t>
        </is>
      </c>
      <c r="X3" s="22" t="inlineStr">
        <is>
          <t>2.11.0+cu130</t>
        </is>
      </c>
      <c r="Y3" s="22" t="inlineStr">
        <is>
          <t>13.0</t>
        </is>
      </c>
      <c r="Z3" s="22" t="inlineStr">
        <is>
          <t>3.13.15</t>
        </is>
      </c>
    </row>
    <row r="4">
      <c r="A4" s="22" t="inlineStr">
        <is>
          <t>eecf0fdd</t>
        </is>
      </c>
      <c r="B4" s="22" t="inlineStr">
        <is>
          <t>2026-10-10T16:03:51+00:00</t>
        </is>
      </c>
      <c r="C4" s="22" t="inlineStr">
        <is>
          <t>baseline</t>
        </is>
      </c>
      <c r="D4" s="22" t="inlineStr">
        <is>
          <t>baseline</t>
        </is>
      </c>
      <c r="E4" s="22" t="inlineStr">
        <is>
          <t>4-layer softmax-attention transformer, FP32</t>
        </is>
      </c>
      <c r="F4" s="22" t="n">
        <v>2</v>
      </c>
      <c r="G4" s="22" t="n">
        <v>627</v>
      </c>
      <c r="H4" s="22" t="n">
        <v>2493</v>
      </c>
      <c r="I4" s="22" t="n">
        <v>0.88127</v>
      </c>
      <c r="J4" s="22" t="n">
        <v>0.96375</v>
      </c>
      <c r="K4" s="22" t="n">
        <v>0.73348</v>
      </c>
      <c r="L4" s="22" t="n">
        <v>2.3081</v>
      </c>
      <c r="M4" s="22" t="n">
        <v>3.481</v>
      </c>
      <c r="N4" s="22" t="n">
        <v>2.4321</v>
      </c>
      <c r="O4" s="22" t="n">
        <v>2.3334</v>
      </c>
      <c r="P4" s="22" t="n">
        <v>2.2748</v>
      </c>
      <c r="Q4" s="22" t="n">
        <v>29.78</v>
      </c>
      <c r="R4" s="22" t="n">
        <v>13.32</v>
      </c>
      <c r="S4" s="22" t="n">
        <v>3491856</v>
      </c>
      <c r="T4" s="22" t="n">
        <v>3163664</v>
      </c>
      <c r="U4" s="22" t="n">
        <v>13.34</v>
      </c>
      <c r="V4" s="22" t="inlineStr">
        <is>
          <t>fp32</t>
        </is>
      </c>
      <c r="W4" s="22" t="inlineStr">
        <is>
          <t>Tesla T4</t>
        </is>
      </c>
      <c r="X4" s="22" t="inlineStr">
        <is>
          <t>2.11.0+cu130</t>
        </is>
      </c>
      <c r="Y4" s="22" t="inlineStr">
        <is>
          <t>13.0</t>
        </is>
      </c>
      <c r="Z4" s="22" t="inlineStr">
        <is>
          <t>3.13.15</t>
        </is>
      </c>
    </row>
    <row r="5">
      <c r="A5" s="22" t="inlineStr">
        <is>
          <t>eecf0fdd</t>
        </is>
      </c>
      <c r="B5" s="22" t="inlineStr">
        <is>
          <t>2026-10-10T16:03:58+00:00</t>
        </is>
      </c>
      <c r="C5" s="22" t="inlineStr">
        <is>
          <t>baseline</t>
        </is>
      </c>
      <c r="D5" s="22" t="inlineStr">
        <is>
          <t>baseline</t>
        </is>
      </c>
      <c r="E5" s="22" t="inlineStr">
        <is>
          <t>4-layer softmax-attention transformer, FP32</t>
        </is>
      </c>
      <c r="F5" s="22" t="n">
        <v>3</v>
      </c>
      <c r="G5" s="22" t="n">
        <v>627</v>
      </c>
      <c r="H5" s="22" t="n">
        <v>2493</v>
      </c>
      <c r="I5" s="22" t="n">
        <v>0.88127</v>
      </c>
      <c r="J5" s="22" t="n">
        <v>0.96375</v>
      </c>
      <c r="K5" s="22" t="n">
        <v>0.73348</v>
      </c>
      <c r="L5" s="22" t="n">
        <v>2.4873</v>
      </c>
      <c r="M5" s="22" t="n">
        <v>3.9202</v>
      </c>
      <c r="N5" s="22" t="n">
        <v>2.7185</v>
      </c>
      <c r="O5" s="22" t="n">
        <v>2.5137</v>
      </c>
      <c r="P5" s="22" t="n">
        <v>2.4314</v>
      </c>
      <c r="Q5" s="22" t="n">
        <v>29.78</v>
      </c>
      <c r="R5" s="22" t="n">
        <v>13.32</v>
      </c>
      <c r="S5" s="22" t="n">
        <v>3491856</v>
      </c>
      <c r="T5" s="22" t="n">
        <v>3163664</v>
      </c>
      <c r="U5" s="22" t="n">
        <v>13.34</v>
      </c>
      <c r="V5" s="22" t="inlineStr">
        <is>
          <t>fp32</t>
        </is>
      </c>
      <c r="W5" s="22" t="inlineStr">
        <is>
          <t>Tesla T4</t>
        </is>
      </c>
      <c r="X5" s="22" t="inlineStr">
        <is>
          <t>2.11.0+cu130</t>
        </is>
      </c>
      <c r="Y5" s="22" t="inlineStr">
        <is>
          <t>13.0</t>
        </is>
      </c>
      <c r="Z5" s="22" t="inlineStr">
        <is>
          <t>3.13.15</t>
        </is>
      </c>
    </row>
    <row r="6">
      <c r="A6" s="22" t="inlineStr">
        <is>
          <t>eecf0fdd</t>
        </is>
      </c>
      <c r="B6" s="22" t="inlineStr">
        <is>
          <t>2026-10-10T16:04:04+00:00</t>
        </is>
      </c>
      <c r="C6" s="22" t="inlineStr">
        <is>
          <t>baseline</t>
        </is>
      </c>
      <c r="D6" s="22" t="inlineStr">
        <is>
          <t>baseline</t>
        </is>
      </c>
      <c r="E6" s="22" t="inlineStr">
        <is>
          <t>4-layer softmax-attention transformer, FP32</t>
        </is>
      </c>
      <c r="F6" s="22" t="n">
        <v>4</v>
      </c>
      <c r="G6" s="22" t="n">
        <v>627</v>
      </c>
      <c r="H6" s="22" t="n">
        <v>2493</v>
      </c>
      <c r="I6" s="22" t="n">
        <v>0.88127</v>
      </c>
      <c r="J6" s="22" t="n">
        <v>0.96375</v>
      </c>
      <c r="K6" s="22" t="n">
        <v>0.73348</v>
      </c>
      <c r="L6" s="22" t="n">
        <v>2.3651</v>
      </c>
      <c r="M6" s="22" t="n">
        <v>2.9586</v>
      </c>
      <c r="N6" s="22" t="n">
        <v>2.4339</v>
      </c>
      <c r="O6" s="22" t="n">
        <v>2.3805</v>
      </c>
      <c r="P6" s="22" t="n">
        <v>2.3278</v>
      </c>
      <c r="Q6" s="22" t="n">
        <v>29.78</v>
      </c>
      <c r="R6" s="22" t="n">
        <v>13.32</v>
      </c>
      <c r="S6" s="22" t="n">
        <v>3491856</v>
      </c>
      <c r="T6" s="22" t="n">
        <v>3163664</v>
      </c>
      <c r="U6" s="22" t="n">
        <v>13.34</v>
      </c>
      <c r="V6" s="22" t="inlineStr">
        <is>
          <t>fp32</t>
        </is>
      </c>
      <c r="W6" s="22" t="inlineStr">
        <is>
          <t>Tesla T4</t>
        </is>
      </c>
      <c r="X6" s="22" t="inlineStr">
        <is>
          <t>2.11.0+cu130</t>
        </is>
      </c>
      <c r="Y6" s="22" t="inlineStr">
        <is>
          <t>13.0</t>
        </is>
      </c>
      <c r="Z6" s="22" t="inlineStr">
        <is>
          <t>3.13.15</t>
        </is>
      </c>
    </row>
    <row r="7">
      <c r="A7" s="22" t="inlineStr">
        <is>
          <t>1610f4f4</t>
        </is>
      </c>
      <c r="B7" s="22" t="inlineStr">
        <is>
          <t>2026-10-10T16:07:43+00:00</t>
        </is>
      </c>
      <c r="C7" s="22" t="inlineStr">
        <is>
          <t>linear_attention</t>
        </is>
      </c>
      <c r="D7" s="22" t="inlineStr">
        <is>
          <t>architecture</t>
        </is>
      </c>
      <c r="E7" s="22" t="inlineStr">
        <is>
          <t>Architecture variant: same 4-layer model, linear (elu+1) attention, FP32</t>
        </is>
      </c>
      <c r="F7" s="22" t="n">
        <v>0</v>
      </c>
      <c r="G7" s="22" t="n">
        <v>627</v>
      </c>
      <c r="H7" s="22" t="n">
        <v>2493</v>
      </c>
      <c r="I7" s="22" t="n">
        <v>0.87124</v>
      </c>
      <c r="J7" s="22" t="n">
        <v>0.965</v>
      </c>
      <c r="K7" s="22" t="n">
        <v>0.70325</v>
      </c>
      <c r="L7" s="22" t="n">
        <v>3.9761</v>
      </c>
      <c r="M7" s="22" t="n">
        <v>6.0831</v>
      </c>
      <c r="N7" s="22" t="n">
        <v>4.2867</v>
      </c>
      <c r="O7" s="22" t="n">
        <v>4.0554</v>
      </c>
      <c r="P7" s="22" t="n">
        <v>3.847</v>
      </c>
      <c r="Q7" s="22" t="n">
        <v>29.78</v>
      </c>
      <c r="R7" s="22" t="n">
        <v>13.32</v>
      </c>
      <c r="S7" s="22" t="n">
        <v>3491856</v>
      </c>
      <c r="T7" s="22" t="n">
        <v>3163664</v>
      </c>
      <c r="U7" s="22" t="n">
        <v>13.34</v>
      </c>
      <c r="V7" s="22" t="inlineStr">
        <is>
          <t>fp32</t>
        </is>
      </c>
      <c r="W7" s="22" t="inlineStr">
        <is>
          <t>Tesla T4</t>
        </is>
      </c>
      <c r="X7" s="22" t="inlineStr">
        <is>
          <t>2.11.0+cu130</t>
        </is>
      </c>
      <c r="Y7" s="22" t="inlineStr">
        <is>
          <t>13.0</t>
        </is>
      </c>
      <c r="Z7" s="22" t="inlineStr">
        <is>
          <t>3.13.15</t>
        </is>
      </c>
    </row>
    <row r="8">
      <c r="A8" s="22" t="inlineStr">
        <is>
          <t>1610f4f4</t>
        </is>
      </c>
      <c r="B8" s="22" t="inlineStr">
        <is>
          <t>2026-10-10T16:07:54+00:00</t>
        </is>
      </c>
      <c r="C8" s="22" t="inlineStr">
        <is>
          <t>linear_attention</t>
        </is>
      </c>
      <c r="D8" s="22" t="inlineStr">
        <is>
          <t>architecture</t>
        </is>
      </c>
      <c r="E8" s="22" t="inlineStr">
        <is>
          <t>Architecture variant: same 4-layer model, linear (elu+1) attention, FP32</t>
        </is>
      </c>
      <c r="F8" s="22" t="n">
        <v>1</v>
      </c>
      <c r="G8" s="22" t="n">
        <v>627</v>
      </c>
      <c r="H8" s="22" t="n">
        <v>2493</v>
      </c>
      <c r="I8" s="22" t="n">
        <v>0.87124</v>
      </c>
      <c r="J8" s="22" t="n">
        <v>0.965</v>
      </c>
      <c r="K8" s="22" t="n">
        <v>0.70325</v>
      </c>
      <c r="L8" s="22" t="n">
        <v>3.9022</v>
      </c>
      <c r="M8" s="22" t="n">
        <v>5.8875</v>
      </c>
      <c r="N8" s="22" t="n">
        <v>4.1964</v>
      </c>
      <c r="O8" s="22" t="n">
        <v>3.9273</v>
      </c>
      <c r="P8" s="22" t="n">
        <v>3.8549</v>
      </c>
      <c r="Q8" s="22" t="n">
        <v>29.78</v>
      </c>
      <c r="R8" s="22" t="n">
        <v>13.32</v>
      </c>
      <c r="S8" s="22" t="n">
        <v>3491856</v>
      </c>
      <c r="T8" s="22" t="n">
        <v>3163664</v>
      </c>
      <c r="U8" s="22" t="n">
        <v>13.34</v>
      </c>
      <c r="V8" s="22" t="inlineStr">
        <is>
          <t>fp32</t>
        </is>
      </c>
      <c r="W8" s="22" t="inlineStr">
        <is>
          <t>Tesla T4</t>
        </is>
      </c>
      <c r="X8" s="22" t="inlineStr">
        <is>
          <t>2.11.0+cu130</t>
        </is>
      </c>
      <c r="Y8" s="22" t="inlineStr">
        <is>
          <t>13.0</t>
        </is>
      </c>
      <c r="Z8" s="22" t="inlineStr">
        <is>
          <t>3.13.15</t>
        </is>
      </c>
    </row>
    <row r="9">
      <c r="A9" s="22" t="inlineStr">
        <is>
          <t>1610f4f4</t>
        </is>
      </c>
      <c r="B9" s="22" t="inlineStr">
        <is>
          <t>2026-10-10T16:08:04+00:00</t>
        </is>
      </c>
      <c r="C9" s="22" t="inlineStr">
        <is>
          <t>linear_attention</t>
        </is>
      </c>
      <c r="D9" s="22" t="inlineStr">
        <is>
          <t>architecture</t>
        </is>
      </c>
      <c r="E9" s="22" t="inlineStr">
        <is>
          <t>Architecture variant: same 4-layer model, linear (elu+1) attention, FP32</t>
        </is>
      </c>
      <c r="F9" s="22" t="n">
        <v>2</v>
      </c>
      <c r="G9" s="22" t="n">
        <v>627</v>
      </c>
      <c r="H9" s="22" t="n">
        <v>2493</v>
      </c>
      <c r="I9" s="22" t="n">
        <v>0.87124</v>
      </c>
      <c r="J9" s="22" t="n">
        <v>0.965</v>
      </c>
      <c r="K9" s="22" t="n">
        <v>0.70325</v>
      </c>
      <c r="L9" s="22" t="n">
        <v>3.7975</v>
      </c>
      <c r="M9" s="22" t="n">
        <v>5.3219</v>
      </c>
      <c r="N9" s="22" t="n">
        <v>3.9837</v>
      </c>
      <c r="O9" s="22" t="n">
        <v>3.8146</v>
      </c>
      <c r="P9" s="22" t="n">
        <v>3.7572</v>
      </c>
      <c r="Q9" s="22" t="n">
        <v>29.78</v>
      </c>
      <c r="R9" s="22" t="n">
        <v>13.32</v>
      </c>
      <c r="S9" s="22" t="n">
        <v>3491856</v>
      </c>
      <c r="T9" s="22" t="n">
        <v>3163664</v>
      </c>
      <c r="U9" s="22" t="n">
        <v>13.34</v>
      </c>
      <c r="V9" s="22" t="inlineStr">
        <is>
          <t>fp32</t>
        </is>
      </c>
      <c r="W9" s="22" t="inlineStr">
        <is>
          <t>Tesla T4</t>
        </is>
      </c>
      <c r="X9" s="22" t="inlineStr">
        <is>
          <t>2.11.0+cu130</t>
        </is>
      </c>
      <c r="Y9" s="22" t="inlineStr">
        <is>
          <t>13.0</t>
        </is>
      </c>
      <c r="Z9" s="22" t="inlineStr">
        <is>
          <t>3.13.15</t>
        </is>
      </c>
    </row>
    <row r="10">
      <c r="A10" s="22" t="inlineStr">
        <is>
          <t>1610f4f4</t>
        </is>
      </c>
      <c r="B10" s="22" t="inlineStr">
        <is>
          <t>2026-10-10T16:08:15+00:00</t>
        </is>
      </c>
      <c r="C10" s="22" t="inlineStr">
        <is>
          <t>linear_attention</t>
        </is>
      </c>
      <c r="D10" s="22" t="inlineStr">
        <is>
          <t>architecture</t>
        </is>
      </c>
      <c r="E10" s="22" t="inlineStr">
        <is>
          <t>Architecture variant: same 4-layer model, linear (elu+1) attention, FP32</t>
        </is>
      </c>
      <c r="F10" s="22" t="n">
        <v>3</v>
      </c>
      <c r="G10" s="22" t="n">
        <v>627</v>
      </c>
      <c r="H10" s="22" t="n">
        <v>2493</v>
      </c>
      <c r="I10" s="22" t="n">
        <v>0.87124</v>
      </c>
      <c r="J10" s="22" t="n">
        <v>0.965</v>
      </c>
      <c r="K10" s="22" t="n">
        <v>0.70325</v>
      </c>
      <c r="L10" s="22" t="n">
        <v>3.8251</v>
      </c>
      <c r="M10" s="22" t="n">
        <v>5.8073</v>
      </c>
      <c r="N10" s="22" t="n">
        <v>4.1275</v>
      </c>
      <c r="O10" s="22" t="n">
        <v>3.8505</v>
      </c>
      <c r="P10" s="22" t="n">
        <v>3.7909</v>
      </c>
      <c r="Q10" s="22" t="n">
        <v>29.78</v>
      </c>
      <c r="R10" s="22" t="n">
        <v>13.32</v>
      </c>
      <c r="S10" s="22" t="n">
        <v>3491856</v>
      </c>
      <c r="T10" s="22" t="n">
        <v>3163664</v>
      </c>
      <c r="U10" s="22" t="n">
        <v>13.34</v>
      </c>
      <c r="V10" s="22" t="inlineStr">
        <is>
          <t>fp32</t>
        </is>
      </c>
      <c r="W10" s="22" t="inlineStr">
        <is>
          <t>Tesla T4</t>
        </is>
      </c>
      <c r="X10" s="22" t="inlineStr">
        <is>
          <t>2.11.0+cu130</t>
        </is>
      </c>
      <c r="Y10" s="22" t="inlineStr">
        <is>
          <t>13.0</t>
        </is>
      </c>
      <c r="Z10" s="22" t="inlineStr">
        <is>
          <t>3.13.15</t>
        </is>
      </c>
    </row>
    <row r="11">
      <c r="A11" s="22" t="inlineStr">
        <is>
          <t>1610f4f4</t>
        </is>
      </c>
      <c r="B11" s="22" t="inlineStr">
        <is>
          <t>2026-10-10T16:08:26+00:00</t>
        </is>
      </c>
      <c r="C11" s="22" t="inlineStr">
        <is>
          <t>linear_attention</t>
        </is>
      </c>
      <c r="D11" s="22" t="inlineStr">
        <is>
          <t>architecture</t>
        </is>
      </c>
      <c r="E11" s="22" t="inlineStr">
        <is>
          <t>Architecture variant: same 4-layer model, linear (elu+1) attention, FP32</t>
        </is>
      </c>
      <c r="F11" s="22" t="n">
        <v>4</v>
      </c>
      <c r="G11" s="22" t="n">
        <v>627</v>
      </c>
      <c r="H11" s="22" t="n">
        <v>2493</v>
      </c>
      <c r="I11" s="22" t="n">
        <v>0.87124</v>
      </c>
      <c r="J11" s="22" t="n">
        <v>0.965</v>
      </c>
      <c r="K11" s="22" t="n">
        <v>0.70325</v>
      </c>
      <c r="L11" s="22" t="n">
        <v>3.8575</v>
      </c>
      <c r="M11" s="22" t="n">
        <v>6.0758</v>
      </c>
      <c r="N11" s="22" t="n">
        <v>4.1994</v>
      </c>
      <c r="O11" s="22" t="n">
        <v>3.8778</v>
      </c>
      <c r="P11" s="22" t="n">
        <v>3.8081</v>
      </c>
      <c r="Q11" s="22" t="n">
        <v>29.78</v>
      </c>
      <c r="R11" s="22" t="n">
        <v>13.32</v>
      </c>
      <c r="S11" s="22" t="n">
        <v>3491856</v>
      </c>
      <c r="T11" s="22" t="n">
        <v>3163664</v>
      </c>
      <c r="U11" s="22" t="n">
        <v>13.34</v>
      </c>
      <c r="V11" s="22" t="inlineStr">
        <is>
          <t>fp32</t>
        </is>
      </c>
      <c r="W11" s="22" t="inlineStr">
        <is>
          <t>Tesla T4</t>
        </is>
      </c>
      <c r="X11" s="22" t="inlineStr">
        <is>
          <t>2.11.0+cu130</t>
        </is>
      </c>
      <c r="Y11" s="22" t="inlineStr">
        <is>
          <t>13.0</t>
        </is>
      </c>
      <c r="Z11" s="22" t="inlineStr">
        <is>
          <t>3.13.15</t>
        </is>
      </c>
    </row>
    <row r="12">
      <c r="A12" s="22" t="inlineStr">
        <is>
          <t>3d0f40a4</t>
        </is>
      </c>
      <c r="B12" s="22" t="inlineStr">
        <is>
          <t>2026-10-10T16:08:46+00:00</t>
        </is>
      </c>
      <c r="C12" s="22" t="inlineStr">
        <is>
          <t>quant_4bit</t>
        </is>
      </c>
      <c r="D12" s="22" t="inlineStr">
        <is>
          <t>quantized</t>
        </is>
      </c>
      <c r="E12" s="22" t="inlineStr">
        <is>
          <t>Baseline weights quantized post-training to 4-bit NF4 (bitsandbytes), FP16 compute</t>
        </is>
      </c>
      <c r="F12" s="22" t="n">
        <v>0</v>
      </c>
      <c r="G12" s="22" t="n">
        <v>627</v>
      </c>
      <c r="H12" s="22" t="n">
        <v>2493</v>
      </c>
      <c r="I12" s="22" t="n">
        <v>0.88127</v>
      </c>
      <c r="J12" s="22" t="n">
        <v>0.9625</v>
      </c>
      <c r="K12" s="22" t="n">
        <v>0.73572</v>
      </c>
      <c r="L12" s="22" t="n">
        <v>5.0262</v>
      </c>
      <c r="M12" s="22" t="n">
        <v>7.3483</v>
      </c>
      <c r="N12" s="22" t="n">
        <v>5.2132</v>
      </c>
      <c r="O12" s="22" t="n">
        <v>5.1952</v>
      </c>
      <c r="P12" s="22" t="n">
        <v>4.1314</v>
      </c>
      <c r="Q12" s="22" t="n">
        <v>19.35</v>
      </c>
      <c r="R12" s="22" t="n">
        <v>2.91</v>
      </c>
      <c r="S12" s="22" t="n">
        <v>3491856</v>
      </c>
      <c r="T12" s="22" t="n">
        <v>3163664</v>
      </c>
      <c r="U12" s="22" t="n">
        <v>2.93</v>
      </c>
      <c r="V12" s="22" t="inlineStr">
        <is>
          <t>nf4 weights / fp16 compute</t>
        </is>
      </c>
      <c r="W12" s="22" t="inlineStr">
        <is>
          <t>Tesla T4</t>
        </is>
      </c>
      <c r="X12" s="22" t="inlineStr">
        <is>
          <t>2.11.0+cu130</t>
        </is>
      </c>
      <c r="Y12" s="22" t="inlineStr">
        <is>
          <t>13.0</t>
        </is>
      </c>
      <c r="Z12" s="22" t="inlineStr">
        <is>
          <t>3.13.15</t>
        </is>
      </c>
    </row>
    <row r="13">
      <c r="A13" s="22" t="inlineStr">
        <is>
          <t>3d0f40a4</t>
        </is>
      </c>
      <c r="B13" s="22" t="inlineStr">
        <is>
          <t>2026-10-10T16:09:00+00:00</t>
        </is>
      </c>
      <c r="C13" s="22" t="inlineStr">
        <is>
          <t>quant_4bit</t>
        </is>
      </c>
      <c r="D13" s="22" t="inlineStr">
        <is>
          <t>quantized</t>
        </is>
      </c>
      <c r="E13" s="22" t="inlineStr">
        <is>
          <t>Baseline weights quantized post-training to 4-bit NF4 (bitsandbytes), FP16 compute</t>
        </is>
      </c>
      <c r="F13" s="22" t="n">
        <v>1</v>
      </c>
      <c r="G13" s="22" t="n">
        <v>627</v>
      </c>
      <c r="H13" s="22" t="n">
        <v>2493</v>
      </c>
      <c r="I13" s="22" t="n">
        <v>0.88127</v>
      </c>
      <c r="J13" s="22" t="n">
        <v>0.9625</v>
      </c>
      <c r="K13" s="22" t="n">
        <v>0.73572</v>
      </c>
      <c r="L13" s="22" t="n">
        <v>5.1814</v>
      </c>
      <c r="M13" s="22" t="n">
        <v>7.5384</v>
      </c>
      <c r="N13" s="22" t="n">
        <v>5.3678</v>
      </c>
      <c r="O13" s="22" t="n">
        <v>5.4009</v>
      </c>
      <c r="P13" s="22" t="n">
        <v>4.3548</v>
      </c>
      <c r="Q13" s="22" t="n">
        <v>19.35</v>
      </c>
      <c r="R13" s="22" t="n">
        <v>2.91</v>
      </c>
      <c r="S13" s="22" t="n">
        <v>3491856</v>
      </c>
      <c r="T13" s="22" t="n">
        <v>3163664</v>
      </c>
      <c r="U13" s="22" t="n">
        <v>2.93</v>
      </c>
      <c r="V13" s="22" t="inlineStr">
        <is>
          <t>nf4 weights / fp16 compute</t>
        </is>
      </c>
      <c r="W13" s="22" t="inlineStr">
        <is>
          <t>Tesla T4</t>
        </is>
      </c>
      <c r="X13" s="22" t="inlineStr">
        <is>
          <t>2.11.0+cu130</t>
        </is>
      </c>
      <c r="Y13" s="22" t="inlineStr">
        <is>
          <t>13.0</t>
        </is>
      </c>
      <c r="Z13" s="22" t="inlineStr">
        <is>
          <t>3.13.15</t>
        </is>
      </c>
    </row>
    <row r="14">
      <c r="A14" s="22" t="inlineStr">
        <is>
          <t>3d0f40a4</t>
        </is>
      </c>
      <c r="B14" s="22" t="inlineStr">
        <is>
          <t>2026-10-10T16:09:13+00:00</t>
        </is>
      </c>
      <c r="C14" s="22" t="inlineStr">
        <is>
          <t>quant_4bit</t>
        </is>
      </c>
      <c r="D14" s="22" t="inlineStr">
        <is>
          <t>quantized</t>
        </is>
      </c>
      <c r="E14" s="22" t="inlineStr">
        <is>
          <t>Baseline weights quantized post-training to 4-bit NF4 (bitsandbytes), FP16 compute</t>
        </is>
      </c>
      <c r="F14" s="22" t="n">
        <v>2</v>
      </c>
      <c r="G14" s="22" t="n">
        <v>627</v>
      </c>
      <c r="H14" s="22" t="n">
        <v>2493</v>
      </c>
      <c r="I14" s="22" t="n">
        <v>0.88127</v>
      </c>
      <c r="J14" s="22" t="n">
        <v>0.9625</v>
      </c>
      <c r="K14" s="22" t="n">
        <v>0.73572</v>
      </c>
      <c r="L14" s="22" t="n">
        <v>4.9093</v>
      </c>
      <c r="M14" s="22" t="n">
        <v>7.2712</v>
      </c>
      <c r="N14" s="22" t="n">
        <v>5.085</v>
      </c>
      <c r="O14" s="22" t="n">
        <v>5.053</v>
      </c>
      <c r="P14" s="22" t="n">
        <v>4.068</v>
      </c>
      <c r="Q14" s="22" t="n">
        <v>19.35</v>
      </c>
      <c r="R14" s="22" t="n">
        <v>2.91</v>
      </c>
      <c r="S14" s="22" t="n">
        <v>3491856</v>
      </c>
      <c r="T14" s="22" t="n">
        <v>3163664</v>
      </c>
      <c r="U14" s="22" t="n">
        <v>2.93</v>
      </c>
      <c r="V14" s="22" t="inlineStr">
        <is>
          <t>nf4 weights / fp16 compute</t>
        </is>
      </c>
      <c r="W14" s="22" t="inlineStr">
        <is>
          <t>Tesla T4</t>
        </is>
      </c>
      <c r="X14" s="22" t="inlineStr">
        <is>
          <t>2.11.0+cu130</t>
        </is>
      </c>
      <c r="Y14" s="22" t="inlineStr">
        <is>
          <t>13.0</t>
        </is>
      </c>
      <c r="Z14" s="22" t="inlineStr">
        <is>
          <t>3.13.15</t>
        </is>
      </c>
    </row>
    <row r="15">
      <c r="A15" s="22" t="inlineStr">
        <is>
          <t>3d0f40a4</t>
        </is>
      </c>
      <c r="B15" s="22" t="inlineStr">
        <is>
          <t>2026-10-10T16:09:27+00:00</t>
        </is>
      </c>
      <c r="C15" s="22" t="inlineStr">
        <is>
          <t>quant_4bit</t>
        </is>
      </c>
      <c r="D15" s="22" t="inlineStr">
        <is>
          <t>quantized</t>
        </is>
      </c>
      <c r="E15" s="22" t="inlineStr">
        <is>
          <t>Baseline weights quantized post-training to 4-bit NF4 (bitsandbytes), FP16 compute</t>
        </is>
      </c>
      <c r="F15" s="22" t="n">
        <v>3</v>
      </c>
      <c r="G15" s="22" t="n">
        <v>627</v>
      </c>
      <c r="H15" s="22" t="n">
        <v>2493</v>
      </c>
      <c r="I15" s="22" t="n">
        <v>0.88127</v>
      </c>
      <c r="J15" s="22" t="n">
        <v>0.9625</v>
      </c>
      <c r="K15" s="22" t="n">
        <v>0.73572</v>
      </c>
      <c r="L15" s="22" t="n">
        <v>4.9638</v>
      </c>
      <c r="M15" s="22" t="n">
        <v>7.2031</v>
      </c>
      <c r="N15" s="22" t="n">
        <v>5.1297</v>
      </c>
      <c r="O15" s="22" t="n">
        <v>5.1041</v>
      </c>
      <c r="P15" s="22" t="n">
        <v>4.1262</v>
      </c>
      <c r="Q15" s="22" t="n">
        <v>19.35</v>
      </c>
      <c r="R15" s="22" t="n">
        <v>2.91</v>
      </c>
      <c r="S15" s="22" t="n">
        <v>3491856</v>
      </c>
      <c r="T15" s="22" t="n">
        <v>3163664</v>
      </c>
      <c r="U15" s="22" t="n">
        <v>2.93</v>
      </c>
      <c r="V15" s="22" t="inlineStr">
        <is>
          <t>nf4 weights / fp16 compute</t>
        </is>
      </c>
      <c r="W15" s="22" t="inlineStr">
        <is>
          <t>Tesla T4</t>
        </is>
      </c>
      <c r="X15" s="22" t="inlineStr">
        <is>
          <t>2.11.0+cu130</t>
        </is>
      </c>
      <c r="Y15" s="22" t="inlineStr">
        <is>
          <t>13.0</t>
        </is>
      </c>
      <c r="Z15" s="22" t="inlineStr">
        <is>
          <t>3.13.15</t>
        </is>
      </c>
    </row>
    <row r="16">
      <c r="A16" s="22" t="inlineStr">
        <is>
          <t>3d0f40a4</t>
        </is>
      </c>
      <c r="B16" s="22" t="inlineStr">
        <is>
          <t>2026-10-10T16:09:40+00:00</t>
        </is>
      </c>
      <c r="C16" s="22" t="inlineStr">
        <is>
          <t>quant_4bit</t>
        </is>
      </c>
      <c r="D16" s="22" t="inlineStr">
        <is>
          <t>quantized</t>
        </is>
      </c>
      <c r="E16" s="22" t="inlineStr">
        <is>
          <t>Baseline weights quantized post-training to 4-bit NF4 (bitsandbytes), FP16 compute</t>
        </is>
      </c>
      <c r="F16" s="22" t="n">
        <v>4</v>
      </c>
      <c r="G16" s="22" t="n">
        <v>627</v>
      </c>
      <c r="H16" s="22" t="n">
        <v>2493</v>
      </c>
      <c r="I16" s="22" t="n">
        <v>0.88127</v>
      </c>
      <c r="J16" s="22" t="n">
        <v>0.9625</v>
      </c>
      <c r="K16" s="22" t="n">
        <v>0.73572</v>
      </c>
      <c r="L16" s="22" t="n">
        <v>5.0845</v>
      </c>
      <c r="M16" s="22" t="n">
        <v>7.271</v>
      </c>
      <c r="N16" s="22" t="n">
        <v>5.2866</v>
      </c>
      <c r="O16" s="22" t="n">
        <v>5.2991</v>
      </c>
      <c r="P16" s="22" t="n">
        <v>4.275</v>
      </c>
      <c r="Q16" s="22" t="n">
        <v>19.35</v>
      </c>
      <c r="R16" s="22" t="n">
        <v>2.91</v>
      </c>
      <c r="S16" s="22" t="n">
        <v>3491856</v>
      </c>
      <c r="T16" s="22" t="n">
        <v>3163664</v>
      </c>
      <c r="U16" s="22" t="n">
        <v>2.93</v>
      </c>
      <c r="V16" s="22" t="inlineStr">
        <is>
          <t>nf4 weights / fp16 compute</t>
        </is>
      </c>
      <c r="W16" s="22" t="inlineStr">
        <is>
          <t>Tesla T4</t>
        </is>
      </c>
      <c r="X16" s="22" t="inlineStr">
        <is>
          <t>2.11.0+cu130</t>
        </is>
      </c>
      <c r="Y16" s="22" t="inlineStr">
        <is>
          <t>13.0</t>
        </is>
      </c>
      <c r="Z16" s="22" t="inlineStr">
        <is>
          <t>3.13.15</t>
        </is>
      </c>
    </row>
    <row r="17">
      <c r="A17" s="22" t="inlineStr">
        <is>
          <t>6c3d1f09</t>
        </is>
      </c>
      <c r="B17" s="22" t="inlineStr">
        <is>
          <t>2026-10-10T16:12:35+00:00</t>
        </is>
      </c>
      <c r="C17" s="22" t="inlineStr">
        <is>
          <t>distilled_student</t>
        </is>
      </c>
      <c r="D17" s="22" t="inlineStr">
        <is>
          <t>distilled</t>
        </is>
      </c>
      <c r="E17" s="22" t="inlineStr">
        <is>
          <t>Distilled student: 2-layer, d=128 transformer trained on baseline's soft labels, FP32</t>
        </is>
      </c>
      <c r="F17" s="22" t="n">
        <v>0</v>
      </c>
      <c r="G17" s="22" t="n">
        <v>627</v>
      </c>
      <c r="H17" s="22" t="n">
        <v>2493</v>
      </c>
      <c r="I17" s="22" t="n">
        <v>0.87846</v>
      </c>
      <c r="J17" s="22" t="n">
        <v>0.96312</v>
      </c>
      <c r="K17" s="22" t="n">
        <v>0.72676</v>
      </c>
      <c r="L17" s="22" t="n">
        <v>1.5424</v>
      </c>
      <c r="M17" s="22" t="n">
        <v>2.1096</v>
      </c>
      <c r="N17" s="22" t="n">
        <v>1.6407</v>
      </c>
      <c r="O17" s="22" t="n">
        <v>1.572</v>
      </c>
      <c r="P17" s="22" t="n">
        <v>1.4953</v>
      </c>
      <c r="Q17" s="22" t="n">
        <v>14.95</v>
      </c>
      <c r="R17" s="22" t="n">
        <v>2.15</v>
      </c>
      <c r="S17" s="22" t="n">
        <v>562960</v>
      </c>
      <c r="T17" s="22" t="n">
        <v>398864</v>
      </c>
      <c r="U17" s="22" t="n">
        <v>2.16</v>
      </c>
      <c r="V17" s="22" t="inlineStr">
        <is>
          <t>fp32</t>
        </is>
      </c>
      <c r="W17" s="22" t="inlineStr">
        <is>
          <t>Tesla T4</t>
        </is>
      </c>
      <c r="X17" s="22" t="inlineStr">
        <is>
          <t>2.11.0+cu130</t>
        </is>
      </c>
      <c r="Y17" s="22" t="inlineStr">
        <is>
          <t>13.0</t>
        </is>
      </c>
      <c r="Z17" s="22" t="inlineStr">
        <is>
          <t>3.13.15</t>
        </is>
      </c>
    </row>
    <row r="18">
      <c r="A18" s="22" t="inlineStr">
        <is>
          <t>6c3d1f09</t>
        </is>
      </c>
      <c r="B18" s="22" t="inlineStr">
        <is>
          <t>2026-10-10T16:12:39+00:00</t>
        </is>
      </c>
      <c r="C18" s="22" t="inlineStr">
        <is>
          <t>distilled_student</t>
        </is>
      </c>
      <c r="D18" s="22" t="inlineStr">
        <is>
          <t>distilled</t>
        </is>
      </c>
      <c r="E18" s="22" t="inlineStr">
        <is>
          <t>Distilled student: 2-layer, d=128 transformer trained on baseline's soft labels, FP32</t>
        </is>
      </c>
      <c r="F18" s="22" t="n">
        <v>1</v>
      </c>
      <c r="G18" s="22" t="n">
        <v>627</v>
      </c>
      <c r="H18" s="22" t="n">
        <v>2493</v>
      </c>
      <c r="I18" s="22" t="n">
        <v>0.87846</v>
      </c>
      <c r="J18" s="22" t="n">
        <v>0.96312</v>
      </c>
      <c r="K18" s="22" t="n">
        <v>0.72676</v>
      </c>
      <c r="L18" s="22" t="n">
        <v>1.5242</v>
      </c>
      <c r="M18" s="22" t="n">
        <v>2.0898</v>
      </c>
      <c r="N18" s="22" t="n">
        <v>1.5845</v>
      </c>
      <c r="O18" s="22" t="n">
        <v>1.5343</v>
      </c>
      <c r="P18" s="22" t="n">
        <v>1.5095</v>
      </c>
      <c r="Q18" s="22" t="n">
        <v>14.95</v>
      </c>
      <c r="R18" s="22" t="n">
        <v>2.15</v>
      </c>
      <c r="S18" s="22" t="n">
        <v>562960</v>
      </c>
      <c r="T18" s="22" t="n">
        <v>398864</v>
      </c>
      <c r="U18" s="22" t="n">
        <v>2.16</v>
      </c>
      <c r="V18" s="22" t="inlineStr">
        <is>
          <t>fp32</t>
        </is>
      </c>
      <c r="W18" s="22" t="inlineStr">
        <is>
          <t>Tesla T4</t>
        </is>
      </c>
      <c r="X18" s="22" t="inlineStr">
        <is>
          <t>2.11.0+cu130</t>
        </is>
      </c>
      <c r="Y18" s="22" t="inlineStr">
        <is>
          <t>13.0</t>
        </is>
      </c>
      <c r="Z18" s="22" t="inlineStr">
        <is>
          <t>3.13.15</t>
        </is>
      </c>
    </row>
    <row r="19">
      <c r="A19" s="22" t="inlineStr">
        <is>
          <t>6c3d1f09</t>
        </is>
      </c>
      <c r="B19" s="22" t="inlineStr">
        <is>
          <t>2026-10-10T16:12:44+00:00</t>
        </is>
      </c>
      <c r="C19" s="22" t="inlineStr">
        <is>
          <t>distilled_student</t>
        </is>
      </c>
      <c r="D19" s="22" t="inlineStr">
        <is>
          <t>distilled</t>
        </is>
      </c>
      <c r="E19" s="22" t="inlineStr">
        <is>
          <t>Distilled student: 2-layer, d=128 transformer trained on baseline's soft labels, FP32</t>
        </is>
      </c>
      <c r="F19" s="22" t="n">
        <v>2</v>
      </c>
      <c r="G19" s="22" t="n">
        <v>627</v>
      </c>
      <c r="H19" s="22" t="n">
        <v>2493</v>
      </c>
      <c r="I19" s="22" t="n">
        <v>0.87846</v>
      </c>
      <c r="J19" s="22" t="n">
        <v>0.96312</v>
      </c>
      <c r="K19" s="22" t="n">
        <v>0.72676</v>
      </c>
      <c r="L19" s="22" t="n">
        <v>1.838</v>
      </c>
      <c r="M19" s="22" t="n">
        <v>2.545</v>
      </c>
      <c r="N19" s="22" t="n">
        <v>1.8633</v>
      </c>
      <c r="O19" s="22" t="n">
        <v>1.8501</v>
      </c>
      <c r="P19" s="22" t="n">
        <v>1.8198</v>
      </c>
      <c r="Q19" s="22" t="n">
        <v>14.95</v>
      </c>
      <c r="R19" s="22" t="n">
        <v>2.15</v>
      </c>
      <c r="S19" s="22" t="n">
        <v>562960</v>
      </c>
      <c r="T19" s="22" t="n">
        <v>398864</v>
      </c>
      <c r="U19" s="22" t="n">
        <v>2.16</v>
      </c>
      <c r="V19" s="22" t="inlineStr">
        <is>
          <t>fp32</t>
        </is>
      </c>
      <c r="W19" s="22" t="inlineStr">
        <is>
          <t>Tesla T4</t>
        </is>
      </c>
      <c r="X19" s="22" t="inlineStr">
        <is>
          <t>2.11.0+cu130</t>
        </is>
      </c>
      <c r="Y19" s="22" t="inlineStr">
        <is>
          <t>13.0</t>
        </is>
      </c>
      <c r="Z19" s="22" t="inlineStr">
        <is>
          <t>3.13.15</t>
        </is>
      </c>
    </row>
    <row r="20">
      <c r="A20" s="22" t="inlineStr">
        <is>
          <t>6c3d1f09</t>
        </is>
      </c>
      <c r="B20" s="22" t="inlineStr">
        <is>
          <t>2026-10-10T16:12:48+00:00</t>
        </is>
      </c>
      <c r="C20" s="22" t="inlineStr">
        <is>
          <t>distilled_student</t>
        </is>
      </c>
      <c r="D20" s="22" t="inlineStr">
        <is>
          <t>distilled</t>
        </is>
      </c>
      <c r="E20" s="22" t="inlineStr">
        <is>
          <t>Distilled student: 2-layer, d=128 transformer trained on baseline's soft labels, FP32</t>
        </is>
      </c>
      <c r="F20" s="22" t="n">
        <v>3</v>
      </c>
      <c r="G20" s="22" t="n">
        <v>627</v>
      </c>
      <c r="H20" s="22" t="n">
        <v>2493</v>
      </c>
      <c r="I20" s="22" t="n">
        <v>0.87846</v>
      </c>
      <c r="J20" s="22" t="n">
        <v>0.96312</v>
      </c>
      <c r="K20" s="22" t="n">
        <v>0.72676</v>
      </c>
      <c r="L20" s="22" t="n">
        <v>1.5508</v>
      </c>
      <c r="M20" s="22" t="n">
        <v>2.096</v>
      </c>
      <c r="N20" s="22" t="n">
        <v>1.6024</v>
      </c>
      <c r="O20" s="22" t="n">
        <v>1.5629</v>
      </c>
      <c r="P20" s="22" t="n">
        <v>1.5288</v>
      </c>
      <c r="Q20" s="22" t="n">
        <v>14.95</v>
      </c>
      <c r="R20" s="22" t="n">
        <v>2.15</v>
      </c>
      <c r="S20" s="22" t="n">
        <v>562960</v>
      </c>
      <c r="T20" s="22" t="n">
        <v>398864</v>
      </c>
      <c r="U20" s="22" t="n">
        <v>2.16</v>
      </c>
      <c r="V20" s="22" t="inlineStr">
        <is>
          <t>fp32</t>
        </is>
      </c>
      <c r="W20" s="22" t="inlineStr">
        <is>
          <t>Tesla T4</t>
        </is>
      </c>
      <c r="X20" s="22" t="inlineStr">
        <is>
          <t>2.11.0+cu130</t>
        </is>
      </c>
      <c r="Y20" s="22" t="inlineStr">
        <is>
          <t>13.0</t>
        </is>
      </c>
      <c r="Z20" s="22" t="inlineStr">
        <is>
          <t>3.13.15</t>
        </is>
      </c>
    </row>
    <row r="21">
      <c r="A21" s="22" t="inlineStr">
        <is>
          <t>6c3d1f09</t>
        </is>
      </c>
      <c r="B21" s="22" t="inlineStr">
        <is>
          <t>2026-10-10T16:12:53+00:00</t>
        </is>
      </c>
      <c r="C21" s="22" t="inlineStr">
        <is>
          <t>distilled_student</t>
        </is>
      </c>
      <c r="D21" s="22" t="inlineStr">
        <is>
          <t>distilled</t>
        </is>
      </c>
      <c r="E21" s="22" t="inlineStr">
        <is>
          <t>Distilled student: 2-layer, d=128 transformer trained on baseline's soft labels, FP32</t>
        </is>
      </c>
      <c r="F21" s="22" t="n">
        <v>4</v>
      </c>
      <c r="G21" s="22" t="n">
        <v>627</v>
      </c>
      <c r="H21" s="22" t="n">
        <v>2493</v>
      </c>
      <c r="I21" s="22" t="n">
        <v>0.87846</v>
      </c>
      <c r="J21" s="22" t="n">
        <v>0.96312</v>
      </c>
      <c r="K21" s="22" t="n">
        <v>0.72676</v>
      </c>
      <c r="L21" s="22" t="n">
        <v>1.5728</v>
      </c>
      <c r="M21" s="22" t="n">
        <v>2.3514</v>
      </c>
      <c r="N21" s="22" t="n">
        <v>1.6603</v>
      </c>
      <c r="O21" s="22" t="n">
        <v>1.5832</v>
      </c>
      <c r="P21" s="22" t="n">
        <v>1.554</v>
      </c>
      <c r="Q21" s="22" t="n">
        <v>14.95</v>
      </c>
      <c r="R21" s="22" t="n">
        <v>2.15</v>
      </c>
      <c r="S21" s="22" t="n">
        <v>562960</v>
      </c>
      <c r="T21" s="22" t="n">
        <v>398864</v>
      </c>
      <c r="U21" s="22" t="n">
        <v>2.16</v>
      </c>
      <c r="V21" s="22" t="inlineStr">
        <is>
          <t>fp32</t>
        </is>
      </c>
      <c r="W21" s="22" t="inlineStr">
        <is>
          <t>Tesla T4</t>
        </is>
      </c>
      <c r="X21" s="22" t="inlineStr">
        <is>
          <t>2.11.0+cu130</t>
        </is>
      </c>
      <c r="Y21" s="22" t="inlineStr">
        <is>
          <t>13.0</t>
        </is>
      </c>
      <c r="Z21" s="22" t="inlineStr">
        <is>
          <t>3.13.15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44" customWidth="1" min="11" max="11"/>
  </cols>
  <sheetData>
    <row r="1">
      <c r="A1" s="8" t="inlineStr">
        <is>
          <t>config</t>
        </is>
      </c>
      <c r="B1" s="8" t="inlineStr">
        <is>
          <t>variant_type</t>
        </is>
      </c>
      <c r="C1" s="8" t="inlineStr">
        <is>
          <t>teacher</t>
        </is>
      </c>
      <c r="D1" s="8" t="inlineStr">
        <is>
          <t>params_total</t>
        </is>
      </c>
      <c r="E1" s="8" t="inlineStr">
        <is>
          <t>params_non_embedding</t>
        </is>
      </c>
      <c r="F1" s="8" t="inlineStr">
        <is>
          <t>train_tokens</t>
        </is>
      </c>
      <c r="G1" s="8" t="inlineStr">
        <is>
          <t>epochs</t>
        </is>
      </c>
      <c r="H1" s="8" t="inlineStr">
        <is>
          <t>train_examples_per_epoch</t>
        </is>
      </c>
      <c r="I1" s="8" t="inlineStr">
        <is>
          <t>best_val_acc</t>
        </is>
      </c>
      <c r="J1" s="8" t="inlineStr">
        <is>
          <t>train_time_s</t>
        </is>
      </c>
      <c r="K1" s="8" t="inlineStr">
        <is>
          <t>device</t>
        </is>
      </c>
    </row>
    <row r="2">
      <c r="A2" s="5" t="inlineStr">
        <is>
          <t>baseline</t>
        </is>
      </c>
      <c r="B2" s="5" t="inlineStr">
        <is>
          <t>baseline</t>
        </is>
      </c>
      <c r="C2" s="5" t="inlineStr"/>
      <c r="D2" s="23" t="n">
        <v>3491856</v>
      </c>
      <c r="E2" s="23" t="n">
        <v>3163664</v>
      </c>
      <c r="F2" s="23" t="n">
        <v>16040640</v>
      </c>
      <c r="G2" s="5" t="n">
        <v>8</v>
      </c>
      <c r="H2" s="23" t="n">
        <v>11426</v>
      </c>
      <c r="I2" s="24" t="n">
        <v>0.8978328173374613</v>
      </c>
      <c r="J2" s="25" t="n">
        <v>167.7</v>
      </c>
      <c r="K2" s="5" t="inlineStr">
        <is>
          <t>Tesla T4</t>
        </is>
      </c>
    </row>
    <row r="3">
      <c r="A3" s="5" t="inlineStr">
        <is>
          <t>linear_attention</t>
        </is>
      </c>
      <c r="B3" s="5" t="inlineStr">
        <is>
          <t>architecture</t>
        </is>
      </c>
      <c r="C3" s="5" t="inlineStr"/>
      <c r="D3" s="23" t="n">
        <v>3491856</v>
      </c>
      <c r="E3" s="23" t="n">
        <v>3163664</v>
      </c>
      <c r="F3" s="23" t="n">
        <v>16040640</v>
      </c>
      <c r="G3" s="5" t="n">
        <v>8</v>
      </c>
      <c r="H3" s="23" t="n">
        <v>11426</v>
      </c>
      <c r="I3" s="24" t="n">
        <v>0.8631578947368421</v>
      </c>
      <c r="J3" s="25" t="n">
        <v>201.1</v>
      </c>
      <c r="K3" s="5" t="inlineStr">
        <is>
          <t>Tesla T4</t>
        </is>
      </c>
    </row>
    <row r="4">
      <c r="A4" s="5" t="inlineStr">
        <is>
          <t>quant_4bit</t>
        </is>
      </c>
      <c r="B4" s="5" t="inlineStr">
        <is>
          <t>quantized</t>
        </is>
      </c>
      <c r="C4" s="5" t="inlineStr"/>
      <c r="D4" s="23" t="n"/>
      <c r="E4" s="23" t="n"/>
      <c r="F4" s="23" t="n"/>
      <c r="G4" s="5" t="n"/>
      <c r="H4" s="23" t="n"/>
      <c r="I4" s="24" t="n"/>
      <c r="J4" s="25" t="n"/>
      <c r="K4" s="5" t="inlineStr">
        <is>
          <t>post-training transform of baseline - no training run</t>
        </is>
      </c>
    </row>
    <row r="5">
      <c r="A5" s="5" t="inlineStr">
        <is>
          <t>distilled_student</t>
        </is>
      </c>
      <c r="B5" s="5" t="inlineStr">
        <is>
          <t>distilled</t>
        </is>
      </c>
      <c r="C5" s="5" t="inlineStr">
        <is>
          <t>baseline</t>
        </is>
      </c>
      <c r="D5" s="23" t="n">
        <v>562960</v>
      </c>
      <c r="E5" s="23" t="n">
        <v>398864</v>
      </c>
      <c r="F5" s="23" t="n">
        <v>24060960</v>
      </c>
      <c r="G5" s="5" t="n">
        <v>12</v>
      </c>
      <c r="H5" s="23" t="n">
        <v>11426</v>
      </c>
      <c r="I5" s="24" t="n">
        <v>0.8972136222910216</v>
      </c>
      <c r="J5" s="25" t="n">
        <v>161.7</v>
      </c>
      <c r="K5" s="5" t="inlineStr">
        <is>
          <t>Tesla T4</t>
        </is>
      </c>
    </row>
    <row r="7">
      <c r="A7" s="2" t="inlineStr">
        <is>
          <t>train_tokens = real (non-padding) bytes the model processed over all epochs: the D in 6ND. The distilled student also ran the teacher forward on every batch (~2*N_teacher*D extra FLOPs), which is not included in its own 6ND.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24" customWidth="1" min="3" max="3"/>
    <col width="22" customWidth="1" min="4" max="4"/>
    <col width="26" customWidth="1" min="5" max="5"/>
  </cols>
  <sheetData>
    <row r="1">
      <c r="A1" s="1" t="inlineStr">
        <is>
          <t>Scaling-law compute estimate: what would a 10x larger model cost?</t>
        </is>
      </c>
    </row>
    <row r="2">
      <c r="A2" s="2" t="inlineStr">
        <is>
          <t>Training FLOPs ~= 6 x N (parameters) x D (training tokens).  Chinchilla compute-optimal budget: D ~= 20 tokens per parameter (Hoffmann et al., 2022).</t>
        </is>
      </c>
    </row>
    <row r="4">
      <c r="A4" s="9" t="inlineStr">
        <is>
          <t>Inputs</t>
        </is>
      </c>
    </row>
    <row r="5">
      <c r="A5" s="5" t="inlineStr">
        <is>
          <t>Baseline parameters N</t>
        </is>
      </c>
      <c r="B5" s="16">
        <f>INDEX(Training!$D:$D,MATCH("baseline",Training!$A:$A,0))</f>
        <v/>
      </c>
    </row>
    <row r="6">
      <c r="A6" s="5" t="inlineStr">
        <is>
          <t>Baseline training tokens D (as trained)</t>
        </is>
      </c>
      <c r="B6" s="16">
        <f>INDEX(Training!$F:$F,MATCH("baseline",Training!$A:$A,0))</f>
        <v/>
      </c>
    </row>
    <row r="7">
      <c r="A7" s="5" t="inlineStr">
        <is>
          <t>Unique training tokens per epoch</t>
        </is>
      </c>
      <c r="B7" s="16">
        <f>INDEX(Training!$F:$F,MATCH("baseline",Training!$A:$A,0))/INDEX(Training!$G:$G,MATCH("baseline",Training!$A:$A,0))</f>
        <v/>
      </c>
    </row>
    <row r="8">
      <c r="A8" s="5" t="inlineStr">
        <is>
          <t>Scale factor</t>
        </is>
      </c>
      <c r="B8" s="26" t="n">
        <v>10</v>
      </c>
    </row>
    <row r="9">
      <c r="A9" s="5" t="inlineStr">
        <is>
          <t>Chinchilla tokens per parameter</t>
        </is>
      </c>
      <c r="B9" s="20" t="n">
        <v>20</v>
      </c>
    </row>
    <row r="10">
      <c r="A10" s="5" t="inlineStr">
        <is>
          <t>T4 peak dense FP16 (TFLOPS)</t>
        </is>
      </c>
      <c r="B10" s="20" t="n">
        <v>65</v>
      </c>
    </row>
    <row r="11">
      <c r="A11" s="5" t="inlineStr">
        <is>
          <t>A100 peak dense BF16 (TFLOPS)</t>
        </is>
      </c>
      <c r="B11" s="20" t="n">
        <v>312</v>
      </c>
    </row>
    <row r="12">
      <c r="A12" s="5" t="inlineStr">
        <is>
          <t>Model FLOPs utilization (MFU)</t>
        </is>
      </c>
      <c r="B12" s="27" t="n">
        <v>0.3</v>
      </c>
    </row>
    <row r="13">
      <c r="A13" s="5" t="inlineStr">
        <is>
          <t>T4 price ($/GPU-hour)</t>
        </is>
      </c>
      <c r="B13" s="28" t="n">
        <v>0.35</v>
      </c>
    </row>
    <row r="14">
      <c r="A14" s="5" t="inlineStr">
        <is>
          <t>A100 price ($/GPU-hour)</t>
        </is>
      </c>
      <c r="B14" s="28" t="n">
        <v>1.5</v>
      </c>
    </row>
    <row r="15">
      <c r="A15" s="5" t="inlineStr">
        <is>
          <t>Mean tokens per request (test set)</t>
        </is>
      </c>
      <c r="B15" s="7" t="n">
        <v>163.1</v>
      </c>
    </row>
    <row r="17" ht="32" customHeight="1">
      <c r="A17" s="8" t="inlineStr">
        <is>
          <t>Projection</t>
        </is>
      </c>
      <c r="B17" s="8" t="inlineStr">
        <is>
          <t>Baseline (as trained)</t>
        </is>
      </c>
      <c r="C17" s="8" t="inlineStr">
        <is>
          <t>Baseline, Chinchilla-optimal</t>
        </is>
      </c>
      <c r="D17" s="8" t="inlineStr">
        <is>
          <t>10x params, same data</t>
        </is>
      </c>
      <c r="E17" s="8" t="inlineStr">
        <is>
          <t>10x params, Chinchilla-optimal</t>
        </is>
      </c>
    </row>
    <row r="18">
      <c r="A18" s="5" t="inlineStr">
        <is>
          <t>Parameters N</t>
        </is>
      </c>
      <c r="B18" s="23">
        <f>$B$5</f>
        <v/>
      </c>
      <c r="C18" s="23">
        <f>$B$5</f>
        <v/>
      </c>
      <c r="D18" s="23">
        <f>$B$5*$B$8</f>
        <v/>
      </c>
      <c r="E18" s="23">
        <f>$B$5*$B$8</f>
        <v/>
      </c>
    </row>
    <row r="19">
      <c r="A19" s="29" t="inlineStr">
        <is>
          <t>Training tokens D</t>
        </is>
      </c>
      <c r="B19" s="30">
        <f>$B$6</f>
        <v/>
      </c>
      <c r="C19" s="30">
        <f>$B$9*C18</f>
        <v/>
      </c>
      <c r="D19" s="30">
        <f>$B$6</f>
        <v/>
      </c>
      <c r="E19" s="30">
        <f>$B$9*E18</f>
        <v/>
      </c>
    </row>
    <row r="20">
      <c r="A20" s="5" t="inlineStr">
        <is>
          <t>Tokens per parameter (D/N)</t>
        </is>
      </c>
      <c r="B20" s="25">
        <f>B19/B18</f>
        <v/>
      </c>
      <c r="C20" s="25">
        <f>C19/C18</f>
        <v/>
      </c>
      <c r="D20" s="25">
        <f>D19/D18</f>
        <v/>
      </c>
      <c r="E20" s="25">
        <f>E19/E18</f>
        <v/>
      </c>
    </row>
    <row r="21">
      <c r="A21" s="31" t="inlineStr">
        <is>
          <t>Training FLOPs (6ND)</t>
        </is>
      </c>
      <c r="B21" s="32">
        <f>6*B18*B19</f>
        <v/>
      </c>
      <c r="C21" s="32">
        <f>6*C18*C19</f>
        <v/>
      </c>
      <c r="D21" s="32">
        <f>6*D18*D19</f>
        <v/>
      </c>
      <c r="E21" s="32">
        <f>6*E18*E19</f>
        <v/>
      </c>
    </row>
    <row r="22">
      <c r="A22" s="5" t="inlineStr">
        <is>
          <t>Passes over our current unique data</t>
        </is>
      </c>
      <c r="B22" s="33">
        <f>B19/$B$7</f>
        <v/>
      </c>
      <c r="C22" s="33">
        <f>C19/$B$7</f>
        <v/>
      </c>
      <c r="D22" s="33">
        <f>D19/$B$7</f>
        <v/>
      </c>
      <c r="E22" s="33">
        <f>E19/$B$7</f>
        <v/>
      </c>
    </row>
    <row r="23">
      <c r="A23" s="29" t="inlineStr">
        <is>
          <t>T4 GPU-hours at MFU</t>
        </is>
      </c>
      <c r="B23" s="34">
        <f>B21/($B$10*1E12*$B$12)/3600</f>
        <v/>
      </c>
      <c r="C23" s="34">
        <f>C21/($B$10*1E12*$B$12)/3600</f>
        <v/>
      </c>
      <c r="D23" s="34">
        <f>D21/($B$10*1E12*$B$12)/3600</f>
        <v/>
      </c>
      <c r="E23" s="34">
        <f>E21/($B$10*1E12*$B$12)/3600</f>
        <v/>
      </c>
    </row>
    <row r="24">
      <c r="A24" s="5" t="inlineStr">
        <is>
          <t>T4 cost ($)</t>
        </is>
      </c>
      <c r="B24" s="35">
        <f>B23*$B$13</f>
        <v/>
      </c>
      <c r="C24" s="35">
        <f>C23*$B$13</f>
        <v/>
      </c>
      <c r="D24" s="35">
        <f>D23*$B$13</f>
        <v/>
      </c>
      <c r="E24" s="35">
        <f>E23*$B$13</f>
        <v/>
      </c>
    </row>
    <row r="25">
      <c r="A25" s="29" t="inlineStr">
        <is>
          <t>A100 GPU-hours at MFU</t>
        </is>
      </c>
      <c r="B25" s="34">
        <f>B21/($B$11*1E12*$B$12)/3600</f>
        <v/>
      </c>
      <c r="C25" s="34">
        <f>C21/($B$11*1E12*$B$12)/3600</f>
        <v/>
      </c>
      <c r="D25" s="34">
        <f>D21/($B$11*1E12*$B$12)/3600</f>
        <v/>
      </c>
      <c r="E25" s="34">
        <f>E21/($B$11*1E12*$B$12)/3600</f>
        <v/>
      </c>
    </row>
    <row r="26">
      <c r="A26" s="5" t="inlineStr">
        <is>
          <t>A100 cost ($)</t>
        </is>
      </c>
      <c r="B26" s="35">
        <f>B25*$B$14</f>
        <v/>
      </c>
      <c r="C26" s="35">
        <f>C25*$B$14</f>
        <v/>
      </c>
      <c r="D26" s="35">
        <f>D25*$B$14</f>
        <v/>
      </c>
      <c r="E26" s="35">
        <f>E25*$B$14</f>
        <v/>
      </c>
    </row>
    <row r="27">
      <c r="A27" s="29" t="inlineStr">
        <is>
          <t>Weights at FP32 (MB)</t>
        </is>
      </c>
      <c r="B27" s="36">
        <f>B18*4/2^20</f>
        <v/>
      </c>
      <c r="C27" s="36">
        <f>C18*4/2^20</f>
        <v/>
      </c>
      <c r="D27" s="36">
        <f>D18*4/2^20</f>
        <v/>
      </c>
      <c r="E27" s="36">
        <f>E18*4/2^20</f>
        <v/>
      </c>
    </row>
    <row r="28">
      <c r="A28" s="5" t="inlineStr">
        <is>
          <t>Weights at 4-bit (MB)</t>
        </is>
      </c>
      <c r="B28" s="33">
        <f>B18*0.5/2^20</f>
        <v/>
      </c>
      <c r="C28" s="33">
        <f>C18*0.5/2^20</f>
        <v/>
      </c>
      <c r="D28" s="33">
        <f>D18*0.5/2^20</f>
        <v/>
      </c>
      <c r="E28" s="33">
        <f>E18*0.5/2^20</f>
        <v/>
      </c>
    </row>
    <row r="29">
      <c r="A29" s="29" t="inlineStr">
        <is>
          <t>Inference GFLOPs per request (~2N per token)</t>
        </is>
      </c>
      <c r="B29" s="37">
        <f>2*B18*$B$15/1E9</f>
        <v/>
      </c>
      <c r="C29" s="37">
        <f>2*C18*$B$15/1E9</f>
        <v/>
      </c>
      <c r="D29" s="37">
        <f>2*D18*$B$15/1E9</f>
        <v/>
      </c>
      <c r="E29" s="37">
        <f>2*E18*$B$15/1E9</f>
        <v/>
      </c>
    </row>
    <row r="31">
      <c r="A31" s="9" t="inlineStr">
        <is>
          <t>Headline for the board</t>
        </is>
      </c>
    </row>
    <row r="32">
      <c r="A32" s="38">
        <f>"A "&amp;TEXT($B$8,"0")&amp;"x model ("&amp;TEXT(E18,"#,##0")&amp;" params) trained compute-optimally needs "&amp;TEXT(E19,"#,##0")&amp;" tokens = "&amp;TEXT(E21,"0.0E+00")&amp;" FLOPs, about "&amp;TEXT(E23,"#,##0.0")&amp;" T4-hours ($"&amp;TEXT(E24,"#,##0")&amp;"). That is "&amp;TEXT(E22,"#,##0")&amp;" passes over the data we have today, so new labeled data, not GPU time, is the binding cost."</f>
        <v/>
      </c>
    </row>
    <row r="33"/>
    <row r="34"/>
    <row r="36">
      <c r="A36" s="39" t="inlineStr">
        <is>
          <t>Notes: 6ND counts forward + backward matmul FLOPs and ignores attention's sequence-length term (small at our ~150-token mean). 2N per token similarly understates inference cost for long documents. Chinchilla's 20 tokens/param was fit on large language models; it is used here as the standard rule of thumb, not a law for 3M-parameter classifiers.</t>
        </is>
      </c>
    </row>
    <row r="37"/>
    <row r="38"/>
    <row r="39"/>
  </sheetData>
  <mergeCells count="2">
    <mergeCell ref="A32:E34"/>
    <mergeCell ref="A36:E39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4" customWidth="1" min="3" max="3"/>
    <col width="11" customWidth="1" min="4" max="4"/>
    <col width="11" customWidth="1" min="5" max="5"/>
    <col width="50" customWidth="1" min="6" max="6"/>
    <col width="50" customWidth="1" min="7" max="7"/>
  </cols>
  <sheetData>
    <row r="1">
      <c r="A1" s="1" t="inlineStr">
        <is>
          <t>Ranked recommendation and residual risks</t>
        </is>
      </c>
    </row>
    <row r="2">
      <c r="A2" s="2" t="inlineStr">
        <is>
          <t>Fill in after the Colab run. Rank 1 is the configuration to ship; ranks should match Board!S.</t>
        </is>
      </c>
    </row>
    <row r="4">
      <c r="A4" s="8" t="inlineStr">
        <is>
          <t>Rank</t>
        </is>
      </c>
      <c r="B4" s="8" t="inlineStr">
        <is>
          <t>Config</t>
        </is>
      </c>
      <c r="C4" s="8" t="inlineStr">
        <is>
          <t>Accuracy</t>
        </is>
      </c>
      <c r="D4" s="8" t="inlineStr">
        <is>
          <t>p95 ms</t>
        </is>
      </c>
      <c r="E4" s="8" t="inlineStr">
        <is>
          <t>Shipped MB</t>
        </is>
      </c>
      <c r="F4" s="8" t="inlineStr">
        <is>
          <t>Why (one line for Sandra)</t>
        </is>
      </c>
      <c r="G4" s="8" t="inlineStr">
        <is>
          <t>Residual risks she accepts</t>
        </is>
      </c>
    </row>
    <row r="5">
      <c r="A5" s="9" t="n">
        <v>1</v>
      </c>
      <c r="B5" s="21" t="n"/>
      <c r="C5" s="13">
        <f>IF(B5="","",INDEX(Board!$F$12:$F$15,MATCH(B5,Board!$A$12:$A$15,0)))</f>
        <v/>
      </c>
      <c r="D5" s="14">
        <f>IF(B5="","",INDEX(Board!$J$12:$J$15,MATCH(B5,Board!$A$12:$A$15,0)))</f>
        <v/>
      </c>
      <c r="E5" s="14">
        <f>IF(B5="","",INDEX(Board!$M$12:$M$15,MATCH(B5,Board!$A$12:$A$15,0)))</f>
        <v/>
      </c>
      <c r="F5" s="40" t="n"/>
      <c r="G5" s="40" t="n"/>
    </row>
    <row r="6">
      <c r="A6" s="9" t="n">
        <v>2</v>
      </c>
      <c r="B6" s="21" t="n"/>
      <c r="C6" s="13">
        <f>IF(B6="","",INDEX(Board!$F$12:$F$15,MATCH(B6,Board!$A$12:$A$15,0)))</f>
        <v/>
      </c>
      <c r="D6" s="14">
        <f>IF(B6="","",INDEX(Board!$J$12:$J$15,MATCH(B6,Board!$A$12:$A$15,0)))</f>
        <v/>
      </c>
      <c r="E6" s="14">
        <f>IF(B6="","",INDEX(Board!$M$12:$M$15,MATCH(B6,Board!$A$12:$A$15,0)))</f>
        <v/>
      </c>
      <c r="F6" s="40" t="n"/>
      <c r="G6" s="40" t="n"/>
    </row>
    <row r="7">
      <c r="A7" s="9" t="n">
        <v>3</v>
      </c>
      <c r="B7" s="21" t="n"/>
      <c r="C7" s="13">
        <f>IF(B7="","",INDEX(Board!$F$12:$F$15,MATCH(B7,Board!$A$12:$A$15,0)))</f>
        <v/>
      </c>
      <c r="D7" s="14">
        <f>IF(B7="","",INDEX(Board!$J$12:$J$15,MATCH(B7,Board!$A$12:$A$15,0)))</f>
        <v/>
      </c>
      <c r="E7" s="14">
        <f>IF(B7="","",INDEX(Board!$M$12:$M$15,MATCH(B7,Board!$A$12:$A$15,0)))</f>
        <v/>
      </c>
      <c r="F7" s="40" t="n"/>
      <c r="G7" s="40" t="n"/>
    </row>
    <row r="8">
      <c r="A8" s="9" t="n">
        <v>4</v>
      </c>
      <c r="B8" s="21" t="n"/>
      <c r="C8" s="13">
        <f>IF(B8="","",INDEX(Board!$F$12:$F$15,MATCH(B8,Board!$A$12:$A$15,0)))</f>
        <v/>
      </c>
      <c r="D8" s="14">
        <f>IF(B8="","",INDEX(Board!$J$12:$J$15,MATCH(B8,Board!$A$12:$A$15,0)))</f>
        <v/>
      </c>
      <c r="E8" s="14">
        <f>IF(B8="","",INDEX(Board!$M$12:$M$15,MATCH(B8,Board!$A$12:$A$15,0)))</f>
        <v/>
      </c>
      <c r="F8" s="40" t="n"/>
      <c r="G8" s="40" t="n"/>
    </row>
    <row r="11">
      <c r="A11" s="9" t="inlineStr">
        <is>
          <t>Residual-risk register (draft - edit, re-score, or delete rows)</t>
        </is>
      </c>
    </row>
    <row r="12">
      <c r="A12" s="8" t="inlineStr">
        <is>
          <t>#</t>
        </is>
      </c>
      <c r="B12" s="8" t="inlineStr">
        <is>
          <t>Risk</t>
        </is>
      </c>
      <c r="C12" s="8" t="inlineStr">
        <is>
          <t>Applies to</t>
        </is>
      </c>
      <c r="D12" s="8" t="inlineStr">
        <is>
          <t>Likelihood</t>
        </is>
      </c>
      <c r="E12" s="8" t="inlineStr">
        <is>
          <t>Impact</t>
        </is>
      </c>
      <c r="F12" s="8" t="inlineStr">
        <is>
          <t>Mitigation</t>
        </is>
      </c>
    </row>
    <row r="13" ht="54" customHeight="1">
      <c r="A13" s="5" t="n">
        <v>1</v>
      </c>
      <c r="B13" s="41" t="inlineStr">
        <is>
          <t>Latency was measured on a Colab T4 GPU, not the in-cab Android tablet. Absolute ms will be higher, and the ranking can change (4-bit and linear-attention kernels are tuned for GPUs).</t>
        </is>
      </c>
      <c r="C13" s="41" t="inlineStr">
        <is>
          <t>all</t>
        </is>
      </c>
      <c r="D13" s="41" t="inlineStr">
        <is>
          <t>High</t>
        </is>
      </c>
      <c r="E13" s="41" t="inlineStr">
        <is>
          <t>Medium</t>
        </is>
      </c>
      <c r="F13" s="41" t="inlineStr">
        <is>
          <t>On-device pilot on the target tablet (ONNX Runtime / ExecuTorch) before fleet rollout.</t>
        </is>
      </c>
    </row>
    <row r="14" ht="54" customHeight="1">
      <c r="A14" s="5" t="n">
        <v>2</v>
      </c>
      <c r="B14" s="41" t="inlineStr">
        <is>
          <t>Document accuracy comes from synthetic scans. Real bills of lading add handwriting, stamps, multi-page scans and layouts we did not simulate.</t>
        </is>
      </c>
      <c r="C14" s="41" t="inlineStr">
        <is>
          <t>all</t>
        </is>
      </c>
      <c r="D14" s="41" t="inlineStr">
        <is>
          <t>High</t>
        </is>
      </c>
      <c r="E14" s="41" t="inlineStr">
        <is>
          <t>High</t>
        </is>
      </c>
      <c r="F14" s="41" t="inlineStr">
        <is>
          <t>Label ~500 real scans from the document archive and re-run the benchmark before sign-off.</t>
        </is>
      </c>
    </row>
    <row r="15" ht="54" customHeight="1">
      <c r="A15" s="5" t="n">
        <v>3</v>
      </c>
      <c r="B15" s="41" t="inlineStr">
        <is>
          <t>Driver notes are scored on clean SLURP transcripts. On-device speech-to-text errors and cab noise are not modeled, and note accuracy is already well below document accuracy.</t>
        </is>
      </c>
      <c r="C15" s="41" t="inlineStr">
        <is>
          <t>all</t>
        </is>
      </c>
      <c r="D15" s="41" t="inlineStr">
        <is>
          <t>High</t>
        </is>
      </c>
      <c r="E15" s="41" t="inlineStr">
        <is>
          <t>Medium</t>
        </is>
      </c>
      <c r="F15" s="41" t="inlineStr">
        <is>
          <t>Benchmark against real ASR output; keep a driver confirm/correct step in the app.</t>
        </is>
      </c>
    </row>
    <row r="16" ht="54" customHeight="1">
      <c r="A16" s="5" t="n">
        <v>4</v>
      </c>
      <c r="B16" s="41" t="inlineStr">
        <is>
          <t>4-bit here uses bitsandbytes NF4, which is CUDA-only. The tablet needs a different int4 runtime whose accuracy and speed have not been measured.</t>
        </is>
      </c>
      <c r="C16" s="41" t="inlineStr">
        <is>
          <t>quant_4bit</t>
        </is>
      </c>
      <c r="D16" s="41" t="inlineStr">
        <is>
          <t>Medium</t>
        </is>
      </c>
      <c r="E16" s="41" t="inlineStr">
        <is>
          <t>Medium</t>
        </is>
      </c>
      <c r="F16" s="41" t="inlineStr">
        <is>
          <t>Re-quantize with the tablet's runtime and re-check accuracy on this test set.</t>
        </is>
      </c>
    </row>
    <row r="17" ht="54" customHeight="1">
      <c r="A17" s="5" t="n">
        <v>5</v>
      </c>
      <c r="B17" s="41" t="inlineStr">
        <is>
          <t>Every model was trained once with one seed; training-run variance is not measured (only inference trials are repeated).</t>
        </is>
      </c>
      <c r="C17" s="41" t="inlineStr">
        <is>
          <t>all</t>
        </is>
      </c>
      <c r="D17" s="41" t="inlineStr">
        <is>
          <t>Medium</t>
        </is>
      </c>
      <c r="E17" s="41" t="inlineStr">
        <is>
          <t>Low</t>
        </is>
      </c>
      <c r="F17" s="41" t="inlineStr">
        <is>
          <t>Retrain the shortlisted config with 3 seeds.</t>
        </is>
      </c>
    </row>
    <row r="18" ht="54" customHeight="1">
      <c r="A18" s="5" t="n">
        <v>6</v>
      </c>
      <c r="B18" s="41" t="inlineStr">
        <is>
          <t>No reject option: a document type outside the 8 classes is forced into one of them.</t>
        </is>
      </c>
      <c r="C18" s="41" t="inlineStr">
        <is>
          <t>all</t>
        </is>
      </c>
      <c r="D18" s="41" t="inlineStr">
        <is>
          <t>Medium</t>
        </is>
      </c>
      <c r="E18" s="41" t="inlineStr">
        <is>
          <t>Medium</t>
        </is>
      </c>
      <c r="F18" s="41" t="inlineStr">
        <is>
          <t>Add a confidence threshold that routes low-confidence scans to manual review.</t>
        </is>
      </c>
    </row>
  </sheetData>
  <dataValidations count="2">
    <dataValidation sqref="B5 B6 B7 B8" showDropDown="0" showInputMessage="0" showErrorMessage="0" allowBlank="1" type="list">
      <formula1>=Board!$A$12:$A$15</formula1>
    </dataValidation>
    <dataValidation sqref="D13:E28" showDropDown="0" showInputMessage="0" showErrorMessage="0" allowBlank="1" type="list">
      <formula1>"Low,Medium,High"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Measurement protocol</t>
        </is>
      </c>
    </row>
    <row r="2">
      <c r="A2" s="2" t="inlineStr">
        <is>
          <t>Identical for every configuration (scripts/benchmark.py).</t>
        </is>
      </c>
    </row>
    <row r="4">
      <c r="A4" s="9" t="inlineStr">
        <is>
          <t>Hardware</t>
        </is>
      </c>
      <c r="B4" s="42">
        <f>IF(COUNTA(Runs!$A:$A)&lt;2,"(no runs yet)",INDEX(Runs!$W:$W,2))</f>
        <v/>
      </c>
    </row>
    <row r="5">
      <c r="A5" s="9" t="inlineStr">
        <is>
          <t>Software</t>
        </is>
      </c>
      <c r="B5" s="42">
        <f>IF(COUNTA(Runs!$A:$A)&lt;2,"(no runs yet)","torch "&amp;INDEX(Runs!$X:$X,2)&amp;", CUDA "&amp;INDEX(Runs!$Y:$Y,2)&amp;", Python "&amp;INDEX(Runs!$Z:$Z,2))</f>
        <v/>
      </c>
    </row>
    <row r="6">
      <c r="A6" s="9" t="inlineStr">
        <is>
          <t>Seeds</t>
        </is>
      </c>
      <c r="B6" s="11" t="inlineStr">
        <is>
          <t>Fixed seed 627 for data generation, training, and request order (trial k uses seed 627+k).</t>
        </is>
      </c>
    </row>
    <row r="7">
      <c r="A7" s="9" t="inlineStr">
        <is>
          <t>Request shape</t>
        </is>
      </c>
      <c r="B7" s="11" t="inlineStr">
        <is>
          <t>Batch size 1: one scanned document or one spoken note per request, as on the tablet.</t>
        </is>
      </c>
    </row>
    <row r="8">
      <c r="A8" s="9" t="inlineStr">
        <is>
          <t>Latency</t>
        </is>
      </c>
      <c r="B8" s="11" t="inlineStr">
        <is>
          <t>Host tensor -&gt; GPU -&gt; forward -&gt; argmax back on host, bracketed by torch.cuda.synchronize(); p50 / p95 over every request in a trial.</t>
        </is>
      </c>
    </row>
    <row r="9">
      <c r="A9" s="9" t="inlineStr">
        <is>
          <t>Warm-up</t>
        </is>
      </c>
      <c r="B9" s="11" t="inlineStr">
        <is>
          <t>50 untimed requests before every trial (CUDA context, kernel selection, caches).</t>
        </is>
      </c>
    </row>
    <row r="10">
      <c r="A10" s="9" t="inlineStr">
        <is>
          <t>Repeated trials</t>
        </is>
      </c>
      <c r="B10" s="11" t="inlineStr">
        <is>
          <t>5 full passes over the test set per configuration; Board shows the mean across trials and the p50 spread.</t>
        </is>
      </c>
    </row>
    <row r="11">
      <c r="A11" s="9" t="inlineStr">
        <is>
          <t>Peak memory</t>
        </is>
      </c>
      <c r="B11" s="11" t="inlineStr">
        <is>
          <t>torch.cuda.max_memory_allocated() during the timed trial (weights + activations).</t>
        </is>
      </c>
    </row>
    <row r="12">
      <c r="A12" s="9" t="inlineStr">
        <is>
          <t>Shipped size</t>
        </is>
      </c>
      <c r="B12" s="11" t="inlineStr">
        <is>
          <t>Serialized state_dict size as loaded; 4-bit stores packed NF4 weights + scales.</t>
        </is>
      </c>
    </row>
    <row r="13">
      <c r="A13" s="9" t="inlineStr">
        <is>
          <t>Accuracy</t>
        </is>
      </c>
      <c r="B13" s="11" t="inlineStr">
        <is>
          <t>From the same timed pass, so accuracy and latency describe the same predictions.</t>
        </is>
      </c>
    </row>
    <row r="14">
      <c r="A14" s="9" t="inlineStr">
        <is>
          <t>Precision</t>
        </is>
      </c>
      <c r="B14" s="11" t="inlineStr">
        <is>
          <t>Baseline, linear attention and student run FP32; 4-bit runs NF4 weights with FP16 matmuls.</t>
        </is>
      </c>
    </row>
    <row r="16">
      <c r="A16" s="9" t="inlineStr">
        <is>
          <t>Evaluation set</t>
        </is>
      </c>
    </row>
    <row r="17">
      <c r="A17" s="8" t="inlineStr">
        <is>
          <t>Split</t>
        </is>
      </c>
      <c r="B17" s="8" t="inlineStr">
        <is>
          <t>Source</t>
        </is>
      </c>
      <c r="C17" s="8" t="inlineStr">
        <is>
          <t>Examples</t>
        </is>
      </c>
      <c r="D17" s="8" t="inlineStr">
        <is>
          <t>Mean bytes</t>
        </is>
      </c>
      <c r="E17" s="8" t="inlineStr">
        <is>
          <t>p95 bytes</t>
        </is>
      </c>
    </row>
    <row r="18">
      <c r="A18" s="5" t="inlineStr">
        <is>
          <t>train</t>
        </is>
      </c>
      <c r="B18" s="5" t="inlineStr">
        <is>
          <t>slurp_notes</t>
        </is>
      </c>
      <c r="C18" s="5" t="n">
        <v>3426</v>
      </c>
      <c r="D18" s="5" t="n">
        <v>38.6</v>
      </c>
      <c r="E18" s="5" t="n">
        <v>69</v>
      </c>
    </row>
    <row r="19">
      <c r="A19" s="5" t="inlineStr">
        <is>
          <t>train</t>
        </is>
      </c>
      <c r="B19" s="5" t="inlineStr">
        <is>
          <t>synthetic_docs</t>
        </is>
      </c>
      <c r="C19" s="5" t="n">
        <v>8000</v>
      </c>
      <c r="D19" s="5" t="n">
        <v>232.7</v>
      </c>
      <c r="E19" s="5" t="n">
        <v>458</v>
      </c>
    </row>
    <row r="20">
      <c r="A20" s="5" t="inlineStr">
        <is>
          <t>val</t>
        </is>
      </c>
      <c r="B20" s="5" t="inlineStr">
        <is>
          <t>slurp_notes</t>
        </is>
      </c>
      <c r="C20" s="5" t="n">
        <v>615</v>
      </c>
      <c r="D20" s="5" t="n">
        <v>38.5</v>
      </c>
      <c r="E20" s="5" t="n">
        <v>69</v>
      </c>
    </row>
    <row r="21">
      <c r="A21" s="5" t="inlineStr">
        <is>
          <t>val</t>
        </is>
      </c>
      <c r="B21" s="5" t="inlineStr">
        <is>
          <t>synthetic_docs</t>
        </is>
      </c>
      <c r="C21" s="5" t="n">
        <v>1000</v>
      </c>
      <c r="D21" s="5" t="n">
        <v>236.6</v>
      </c>
      <c r="E21" s="5" t="n">
        <v>468</v>
      </c>
    </row>
    <row r="22">
      <c r="A22" s="5" t="inlineStr">
        <is>
          <t>test</t>
        </is>
      </c>
      <c r="B22" s="5" t="inlineStr">
        <is>
          <t>slurp_notes</t>
        </is>
      </c>
      <c r="C22" s="5" t="n">
        <v>893</v>
      </c>
      <c r="D22" s="5" t="n">
        <v>38.6</v>
      </c>
      <c r="E22" s="5" t="n">
        <v>71</v>
      </c>
    </row>
    <row r="23">
      <c r="A23" s="5" t="inlineStr">
        <is>
          <t>test</t>
        </is>
      </c>
      <c r="B23" s="5" t="inlineStr">
        <is>
          <t>synthetic_docs</t>
        </is>
      </c>
      <c r="C23" s="5" t="n">
        <v>1600</v>
      </c>
      <c r="D23" s="5" t="n">
        <v>231</v>
      </c>
      <c r="E23" s="5" t="n">
        <v>458</v>
      </c>
    </row>
    <row r="25">
      <c r="A25" s="2" t="inlineStr">
        <is>
          <t>synthetic_docs: scripts/generate_documents.py, 8 freight document types with OCR noise, cut-off headers and partial photos; the test split uses unseen company/city names.  slurp_notes: SLURP transcripts (github.com/pswietojanski/slurp, CC BY 4.0), 8 in-cab intents, SLURP's own splits.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2026-10-10T16:12:55Z</dcterms:created>
  <dcterms:modified xmlns:dcterms="http://purl.org/dc/terms/" xmlns:xsi="http://www.w3.org/2001/XMLSchema-instance" xsi:type="dcterms:W3CDTF">2026-10-10T16:12:55Z</dcterms:modified>
</cp:coreProperties>
</file>